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New Client Checklist" sheetId="2" state="visible" r:id="rId2"/>
    <sheet name="Existing Client Audit" sheetId="3" state="visible" r:id="rId3"/>
    <sheet name="Weekly Routine" sheetId="4" state="visible" r:id="rId4"/>
    <sheet name="KPI Benchmarks" sheetId="5" state="visible" r:id="rId5"/>
    <sheet name="Client Economics" sheetId="6" state="visible" r:id="rId6"/>
    <sheet name="Weekly Tracker" sheetId="7" state="visible" r:id="rId7"/>
    <sheet name="Creative Test Log" sheetId="8" state="visible" r:id="rId8"/>
    <sheet name="Stairway Test Log" sheetId="9" state="visible" r:id="rId9"/>
  </sheets>
  <definedNames/>
  <calcPr calcId="124519" fullCalcOnLoad="1"/>
</workbook>
</file>

<file path=xl/styles.xml><?xml version="1.0" encoding="utf-8"?>
<styleSheet xmlns="http://schemas.openxmlformats.org/spreadsheetml/2006/main">
  <numFmts count="6">
    <numFmt numFmtId="164" formatCode="0.0&quot;x&quot;"/>
    <numFmt numFmtId="165" formatCode="$#,##0"/>
    <numFmt numFmtId="166" formatCode="$#,##0.00"/>
    <numFmt numFmtId="167" formatCode="0.00&quot;x&quot;"/>
    <numFmt numFmtId="168" formatCode="dd-mmm-yy"/>
    <numFmt numFmtId="169" formatCode="0.0%"/>
  </numFmts>
  <fonts count="14">
    <font>
      <name val="Calibri"/>
      <family val="2"/>
      <color theme="1"/>
      <sz val="11"/>
      <scheme val="minor"/>
    </font>
    <font>
      <name val="Arial"/>
      <b val="1"/>
      <color rgb="0016213E"/>
      <sz val="16"/>
    </font>
    <font>
      <name val="Arial"/>
      <i val="1"/>
      <color rgb="006B7285"/>
      <sz val="10"/>
    </font>
    <font>
      <name val="Arial"/>
      <b val="1"/>
      <color rgb="000E9F9A"/>
      <sz val="11"/>
    </font>
    <font>
      <name val="Arial"/>
      <sz val="10"/>
    </font>
    <font>
      <name val="Arial"/>
      <b val="1"/>
      <color rgb="0016213E"/>
      <sz val="10"/>
    </font>
    <font>
      <name val="Arial"/>
      <b val="1"/>
      <color rgb="00FFFFFF"/>
      <sz val="10"/>
    </font>
    <font>
      <name val="Arial"/>
      <color rgb="00000000"/>
      <sz val="10"/>
    </font>
    <font>
      <name val="Arial"/>
      <b val="1"/>
      <color rgb="000000FF"/>
      <sz val="10"/>
    </font>
    <font>
      <name val="Arial"/>
      <i val="1"/>
      <color rgb="006B7285"/>
      <sz val="9"/>
    </font>
    <font>
      <name val="Arial"/>
      <color rgb="000000FF"/>
      <sz val="10"/>
    </font>
    <font>
      <name val="Arial"/>
      <b val="1"/>
      <sz val="10"/>
    </font>
    <font>
      <name val="Arial"/>
      <b val="1"/>
      <color rgb="0016213E"/>
    </font>
    <font>
      <name val="Arial"/>
      <b val="1"/>
      <color rgb="000E9F9A"/>
      <sz val="12"/>
    </font>
  </fonts>
  <fills count="11">
    <fill>
      <patternFill/>
    </fill>
    <fill>
      <patternFill patternType="gray125"/>
    </fill>
    <fill>
      <patternFill patternType="solid">
        <fgColor rgb="00FFF6CC"/>
      </patternFill>
    </fill>
    <fill>
      <patternFill patternType="solid">
        <fgColor rgb="0016213E"/>
      </patternFill>
    </fill>
    <fill>
      <patternFill patternType="solid">
        <fgColor rgb="00E7F0FE"/>
      </patternFill>
    </fill>
    <fill>
      <patternFill patternType="solid">
        <fgColor rgb="00E3F6F5"/>
      </patternFill>
    </fill>
    <fill>
      <patternFill patternType="solid">
        <fgColor rgb="00EEECFD"/>
      </patternFill>
    </fill>
    <fill>
      <patternFill patternType="solid">
        <fgColor rgb="00FEF4E2"/>
      </patternFill>
    </fill>
    <fill>
      <patternFill patternType="solid">
        <fgColor rgb="00FDECEA"/>
      </patternFill>
    </fill>
    <fill>
      <patternFill patternType="solid">
        <fgColor rgb="00E4F6EE"/>
      </patternFill>
    </fill>
    <fill>
      <patternFill patternType="solid">
        <fgColor rgb="00F1F2F6"/>
      </patternFill>
    </fill>
  </fills>
  <borders count="2">
    <border>
      <left/>
      <right/>
      <top/>
      <bottom/>
      <diagonal/>
    </border>
    <border>
      <bottom style="thin">
        <color rgb="00E3E6EE"/>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5" fillId="2" borderId="0" pivotButton="0" quotePrefix="0" xfId="0"/>
    <xf numFmtId="0" fontId="12" fillId="0" borderId="0" pivotButton="0" quotePrefix="0" xfId="0"/>
    <xf numFmtId="0" fontId="0" fillId="2" borderId="0" pivotButton="0" quotePrefix="0" xfId="0"/>
    <xf numFmtId="9" fontId="13" fillId="0" borderId="0" pivotButton="0" quotePrefix="0" xfId="0"/>
    <xf numFmtId="0" fontId="6" fillId="3" borderId="0" applyAlignment="1" pivotButton="0" quotePrefix="0" xfId="0">
      <alignment vertical="center" wrapText="1"/>
    </xf>
    <xf numFmtId="0" fontId="7" fillId="4" borderId="1" applyAlignment="1" pivotButton="0" quotePrefix="0" xfId="0">
      <alignment vertical="top" wrapText="1"/>
    </xf>
    <xf numFmtId="0" fontId="5" fillId="4" borderId="1" applyAlignment="1" pivotButton="0" quotePrefix="0" xfId="0">
      <alignment vertical="top" wrapText="1"/>
    </xf>
    <xf numFmtId="0" fontId="7" fillId="2" borderId="1" applyAlignment="1" pivotButton="0" quotePrefix="0" xfId="0">
      <alignment vertical="top" wrapText="1"/>
    </xf>
    <xf numFmtId="168" fontId="7" fillId="2" borderId="1" applyAlignment="1" pivotButton="0" quotePrefix="0" xfId="0">
      <alignment vertical="top" wrapText="1"/>
    </xf>
    <xf numFmtId="0" fontId="7" fillId="5" borderId="1" applyAlignment="1" pivotButton="0" quotePrefix="0" xfId="0">
      <alignment vertical="top" wrapText="1"/>
    </xf>
    <xf numFmtId="0" fontId="5" fillId="5" borderId="1" applyAlignment="1" pivotButton="0" quotePrefix="0" xfId="0">
      <alignment vertical="top" wrapText="1"/>
    </xf>
    <xf numFmtId="0" fontId="7"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top" wrapText="1"/>
    </xf>
    <xf numFmtId="0" fontId="5" fillId="7" borderId="1" applyAlignment="1" pivotButton="0" quotePrefix="0" xfId="0">
      <alignment vertical="top" wrapText="1"/>
    </xf>
    <xf numFmtId="0" fontId="7" fillId="8" borderId="1" applyAlignment="1" pivotButton="0" quotePrefix="0" xfId="0">
      <alignment vertical="top" wrapText="1"/>
    </xf>
    <xf numFmtId="0" fontId="5" fillId="8" borderId="1" applyAlignment="1" pivotButton="0" quotePrefix="0" xfId="0">
      <alignment vertical="top" wrapText="1"/>
    </xf>
    <xf numFmtId="0" fontId="7" fillId="9" borderId="1" applyAlignment="1" pivotButton="0" quotePrefix="0" xfId="0">
      <alignment vertical="top" wrapText="1"/>
    </xf>
    <xf numFmtId="0" fontId="5" fillId="9" borderId="1" applyAlignment="1" pivotButton="0" quotePrefix="0" xfId="0">
      <alignment vertical="top" wrapText="1"/>
    </xf>
    <xf numFmtId="0" fontId="7" fillId="10" borderId="1" applyAlignment="1" pivotButton="0" quotePrefix="0" xfId="0">
      <alignment vertical="top" wrapText="1"/>
    </xf>
    <xf numFmtId="0" fontId="5" fillId="10" borderId="1" applyAlignment="1" pivotButton="0" quotePrefix="0" xfId="0">
      <alignment vertical="top" wrapText="1"/>
    </xf>
    <xf numFmtId="0" fontId="7" fillId="0" borderId="1" applyAlignment="1" pivotButton="0" quotePrefix="0" xfId="0">
      <alignment vertical="top" wrapText="1"/>
    </xf>
    <xf numFmtId="9" fontId="8" fillId="2" borderId="1" applyAlignment="1" pivotButton="0" quotePrefix="0" xfId="0">
      <alignment vertical="top" wrapText="1"/>
    </xf>
    <xf numFmtId="165" fontId="8" fillId="2" borderId="1" applyAlignment="1" pivotButton="0" quotePrefix="0" xfId="0">
      <alignment vertical="top" wrapText="1"/>
    </xf>
    <xf numFmtId="2" fontId="8" fillId="2" borderId="1" applyAlignment="1" pivotButton="0" quotePrefix="0" xfId="0">
      <alignment vertical="top" wrapText="1"/>
    </xf>
    <xf numFmtId="164" fontId="8" fillId="2" borderId="1" applyAlignment="1" pivotButton="0" quotePrefix="0" xfId="0">
      <alignment vertical="top" wrapText="1"/>
    </xf>
    <xf numFmtId="3" fontId="8" fillId="2" borderId="1" applyAlignment="1" pivotButton="0" quotePrefix="0" xfId="0">
      <alignment vertical="top" wrapText="1"/>
    </xf>
    <xf numFmtId="0" fontId="9" fillId="0" borderId="0" pivotButton="0" quotePrefix="0" xfId="0"/>
    <xf numFmtId="165" fontId="10" fillId="2" borderId="1" applyAlignment="1" pivotButton="0" quotePrefix="0" xfId="0">
      <alignment vertical="top" wrapText="1"/>
    </xf>
    <xf numFmtId="166" fontId="10" fillId="2" borderId="1" applyAlignment="1" pivotButton="0" quotePrefix="0" xfId="0">
      <alignment vertical="top" wrapText="1"/>
    </xf>
    <xf numFmtId="166" fontId="7" fillId="0" borderId="1" applyAlignment="1" pivotButton="0" quotePrefix="0" xfId="0">
      <alignment vertical="top" wrapText="1"/>
    </xf>
    <xf numFmtId="167" fontId="7" fillId="0" borderId="1" applyAlignment="1" pivotButton="0" quotePrefix="0" xfId="0">
      <alignment vertical="top" wrapText="1"/>
    </xf>
    <xf numFmtId="0" fontId="10" fillId="2" borderId="1" applyAlignment="1" pivotButton="0" quotePrefix="0" xfId="0">
      <alignment vertical="top" wrapText="1"/>
    </xf>
    <xf numFmtId="165" fontId="7" fillId="0" borderId="1" applyAlignment="1" pivotButton="0" quotePrefix="0" xfId="0">
      <alignment vertical="top" wrapText="1"/>
    </xf>
    <xf numFmtId="3" fontId="10" fillId="2" borderId="1" applyAlignment="1" pivotButton="0" quotePrefix="0" xfId="0">
      <alignment vertical="top" wrapText="1"/>
    </xf>
    <xf numFmtId="10" fontId="7" fillId="0" borderId="1" applyAlignment="1" pivotButton="0" quotePrefix="0" xfId="0">
      <alignment vertical="top" wrapText="1"/>
    </xf>
    <xf numFmtId="9" fontId="7" fillId="0" borderId="1" applyAlignment="1" pivotButton="0" quotePrefix="0" xfId="0">
      <alignment vertical="top" wrapText="1"/>
    </xf>
    <xf numFmtId="169" fontId="7" fillId="0" borderId="1" applyAlignment="1" pivotButton="0" quotePrefix="0" xfId="0">
      <alignment vertical="top" wrapText="1"/>
    </xf>
    <xf numFmtId="0" fontId="11" fillId="0" borderId="1" applyAlignment="1" pivotButton="0" quotePrefix="0" xfId="0">
      <alignment vertical="top" wrapText="1"/>
    </xf>
  </cellXfs>
  <cellStyles count="1">
    <cellStyle name="Normal" xfId="0" builtinId="0" hidden="0"/>
  </cellStyles>
  <dxfs count="3">
    <dxf>
      <fill>
        <patternFill patternType="solid">
          <fgColor rgb="00D5F2E3"/>
        </patternFill>
      </fill>
    </dxf>
    <dxf>
      <fill>
        <patternFill patternType="solid">
          <fgColor rgb="00FDEBC8"/>
        </patternFill>
      </fill>
    </dxf>
    <dxf>
      <fill>
        <patternFill patternType="solid">
          <fgColor rgb="00FBD9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OS</author>
  </authors>
  <commentList>
    <comment ref="P4" authorId="0" shapeId="0">
      <text>
        <t>85% / 15% split: midpoint of the videos' 80–90% prospecting, 10–20% retargeting.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24" customWidth="1" min="1" max="1"/>
    <col width="110" customWidth="1" min="2" max="2"/>
  </cols>
  <sheetData>
    <row r="1">
      <c r="A1" s="1" t="inlineStr">
        <is>
          <t>Meta Ads Client OS</t>
        </is>
      </c>
    </row>
    <row r="2">
      <c r="A2" s="2" t="inlineStr">
        <is>
          <t>Built from the Meta Ads Playbook (5 Sergio C / ADVT videos). One workbook per agency; duplicate checklist tabs per client.</t>
        </is>
      </c>
    </row>
    <row r="4">
      <c r="A4" s="3" t="inlineStr">
        <is>
          <t>How to use</t>
        </is>
      </c>
      <c r="B4" s="4" t="inlineStr"/>
    </row>
    <row r="5">
      <c r="A5" s="5" t="inlineStr">
        <is>
          <t>1. New client</t>
        </is>
      </c>
      <c r="B5" s="4" t="inlineStr">
        <is>
          <t>Duplicate 'New Client Checklist', rename it with the client name, work top to bottom. Fill 'Client Economics' first.</t>
        </is>
      </c>
    </row>
    <row r="6">
      <c r="A6" s="5" t="inlineStr">
        <is>
          <t>2. Existing client</t>
        </is>
      </c>
      <c r="B6" s="4" t="inlineStr">
        <is>
          <t>Duplicate 'Existing Client Audit'. Pull 30 days of Ads Manager + Shopify data into 'Weekly Tracker' to find the first leak.</t>
        </is>
      </c>
    </row>
    <row r="7">
      <c r="A7" s="5" t="inlineStr">
        <is>
          <t>3. Every week</t>
        </is>
      </c>
      <c r="B7" s="4" t="inlineStr">
        <is>
          <t>Follow 'Weekly Routine'. Add one row per client per week to 'Weekly Tracker'.</t>
        </is>
      </c>
    </row>
    <row r="8">
      <c r="A8" s="5" t="inlineStr">
        <is>
          <t>4. Every test</t>
        </is>
      </c>
      <c r="B8" s="4" t="inlineStr">
        <is>
          <t>Creative tests go in 'Creative Test Log' (auto verdict). Every stairway step goes in 'Stairway Test Log'.</t>
        </is>
      </c>
    </row>
    <row r="9">
      <c r="A9" s="5" t="inlineStr">
        <is>
          <t>5. Thresholds</t>
        </is>
      </c>
      <c r="B9" s="4" t="inlineStr">
        <is>
          <t>All benchmarks live in 'KPI Benchmarks' column D. Change them there and every flag updates.</t>
        </is>
      </c>
    </row>
    <row r="10">
      <c r="A10" s="5" t="inlineStr"/>
      <c r="B10" s="4" t="inlineStr"/>
    </row>
    <row r="11">
      <c r="A11" s="3" t="inlineStr">
        <is>
          <t>Legend</t>
        </is>
      </c>
      <c r="B11" s="4" t="inlineStr"/>
    </row>
    <row r="12">
      <c r="A12" s="6" t="inlineStr">
        <is>
          <t>Yellow cells</t>
        </is>
      </c>
      <c r="B12" s="4" t="inlineStr">
        <is>
          <t>Inputs you type or paste.</t>
        </is>
      </c>
    </row>
    <row r="13">
      <c r="A13" s="5" t="inlineStr">
        <is>
          <t>White / black text</t>
        </is>
      </c>
      <c r="B13" s="4" t="inlineStr">
        <is>
          <t>Formulas. Don't overwrite.</t>
        </is>
      </c>
    </row>
    <row r="14">
      <c r="A14" s="5" t="inlineStr">
        <is>
          <t>Green / amber / red fill</t>
        </is>
      </c>
      <c r="B14" s="4" t="inlineStr">
        <is>
          <t>Automatic flags: healthy / watch / problem.</t>
        </is>
      </c>
    </row>
    <row r="15">
      <c r="A15" s="5" t="inlineStr">
        <is>
          <t>Row 1 of each log</t>
        </is>
      </c>
      <c r="B15" s="4" t="inlineStr">
        <is>
          <t>Example row with realistic values. Overwrite or delete it.</t>
        </is>
      </c>
    </row>
    <row r="16">
      <c r="A16" s="5" t="inlineStr"/>
      <c r="B16" s="4" t="inlineStr"/>
    </row>
    <row r="17">
      <c r="A17" s="3" t="inlineStr">
        <is>
          <t>Core rules</t>
        </is>
      </c>
      <c r="B17" s="4" t="inlineStr"/>
    </row>
    <row r="18">
      <c r="A18" s="5" t="inlineStr">
        <is>
          <t>Profit equation</t>
        </is>
      </c>
      <c r="B18" s="4" t="inlineStr">
        <is>
          <t>Revenue = (Spend ÷ CPC) × Conversion rate × AOV. Move one lever at a time.</t>
        </is>
      </c>
    </row>
    <row r="19">
      <c r="A19" s="5" t="inlineStr">
        <is>
          <t>Stairway</t>
        </is>
      </c>
      <c r="B19" s="4" t="inlineStr">
        <is>
          <t>1 Creative → 2 Copy → 3 Landing page → 4 Audience → 5 Scale. One variable per step.</t>
        </is>
      </c>
    </row>
    <row r="20">
      <c r="A20" s="5" t="inlineStr">
        <is>
          <t>Diagnose</t>
        </is>
      </c>
      <c r="B20" s="4" t="inlineStr">
        <is>
          <t>Walk the funnel top-down; fix only the FIRST failing stage (Weekly Tracker column Z).</t>
        </is>
      </c>
    </row>
    <row r="21">
      <c r="A21" s="5" t="inlineStr">
        <is>
          <t>Structure</t>
        </is>
      </c>
      <c r="B21" s="4" t="inlineStr">
        <is>
          <t>Ads live must match budget (~$30/day = 1–3 ads). 80–90% prospecting, 10–20% retargeting.</t>
        </is>
      </c>
    </row>
    <row r="22">
      <c r="A22" s="5" t="inlineStr">
        <is>
          <t>Scale</t>
        </is>
      </c>
      <c r="B22" s="4" t="inlineStr">
        <is>
          <t>Only above scale-zone ROAS, in $10–20/day steps. Tests run beside the main campaigns, never inside.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5" topLeftCell="A6" activePane="bottomLeft" state="frozen"/>
      <selection pane="bottomLeft" activeCell="A1" sqref="A1"/>
    </sheetView>
  </sheetViews>
  <sheetFormatPr baseColWidth="8" defaultRowHeight="15"/>
  <cols>
    <col width="5" customWidth="1" min="1" max="1"/>
    <col width="20" customWidth="1" min="2" max="2"/>
    <col width="48" customWidth="1" min="3" max="3"/>
    <col width="52" customWidth="1" min="4" max="4"/>
    <col width="13" customWidth="1" min="5" max="5"/>
    <col width="11" customWidth="1" min="6" max="6"/>
    <col width="12" customWidth="1" min="7" max="7"/>
    <col width="30" customWidth="1" min="8" max="8"/>
  </cols>
  <sheetData>
    <row r="1">
      <c r="A1" s="1" t="inlineStr">
        <is>
          <t>New Client Checklist</t>
        </is>
      </c>
    </row>
    <row r="2">
      <c r="A2" s="2" t="inlineStr">
        <is>
          <t>Duplicate per client. Work top to bottom: each phase depends on the one above.</t>
        </is>
      </c>
    </row>
    <row r="3">
      <c r="A3" s="7" t="inlineStr">
        <is>
          <t>Client:</t>
        </is>
      </c>
      <c r="B3" s="8" t="n"/>
      <c r="D3" s="7" t="inlineStr">
        <is>
          <t>Progress:</t>
        </is>
      </c>
      <c r="E3" s="9">
        <f>IFERROR(COUNTIF(E6:E29,"Done")/(COUNTA(C6:C29)-COUNTIF(E6:E29,"N/A")),0)</f>
        <v/>
      </c>
    </row>
    <row r="5" ht="32" customHeight="1">
      <c r="A5" s="10" t="inlineStr">
        <is>
          <t>#</t>
        </is>
      </c>
      <c r="B5" s="10" t="inlineStr">
        <is>
          <t>Phase</t>
        </is>
      </c>
      <c r="C5" s="10" t="inlineStr">
        <is>
          <t>Task</t>
        </is>
      </c>
      <c r="D5" s="10" t="inlineStr">
        <is>
          <t>Standard / why</t>
        </is>
      </c>
      <c r="E5" s="10" t="inlineStr">
        <is>
          <t>Status</t>
        </is>
      </c>
      <c r="F5" s="10" t="inlineStr">
        <is>
          <t>Date done</t>
        </is>
      </c>
      <c r="G5" s="10" t="inlineStr">
        <is>
          <t>Owner</t>
        </is>
      </c>
      <c r="H5" s="10" t="inlineStr">
        <is>
          <t>Notes</t>
        </is>
      </c>
    </row>
    <row r="6">
      <c r="A6" s="11" t="n">
        <v>1</v>
      </c>
      <c r="B6" s="11" t="inlineStr">
        <is>
          <t>A Economics &amp; goals</t>
        </is>
      </c>
      <c r="C6" s="12" t="inlineStr">
        <is>
          <t>Fill Client Economics: AOV, product, fulfilment, fees</t>
        </is>
      </c>
      <c r="D6" s="11" t="inlineStr">
        <is>
          <t>Gives break-even CPA and ROAS. No launch without it.</t>
        </is>
      </c>
      <c r="E6" s="13" t="inlineStr">
        <is>
          <t>Not started</t>
        </is>
      </c>
      <c r="F6" s="14" t="n"/>
      <c r="G6" s="13" t="n"/>
      <c r="H6" s="13" t="n"/>
    </row>
    <row r="7">
      <c r="A7" s="11" t="n">
        <v>2</v>
      </c>
      <c r="B7" s="11" t="inlineStr">
        <is>
          <t>A Economics &amp; goals</t>
        </is>
      </c>
      <c r="C7" s="12" t="inlineStr">
        <is>
          <t>Agree the goal: profit-first, growth-first or hybrid</t>
        </is>
      </c>
      <c r="D7" s="11" t="inlineStr">
        <is>
          <t>Target ROAS sits above break-even, never a vanity number (8x target can block growth that 3–5x funds).</t>
        </is>
      </c>
      <c r="E7" s="13" t="inlineStr">
        <is>
          <t>Not started</t>
        </is>
      </c>
      <c r="F7" s="14" t="n"/>
      <c r="G7" s="13" t="n"/>
      <c r="H7" s="13" t="n"/>
    </row>
    <row r="8">
      <c r="A8" s="11" t="n">
        <v>3</v>
      </c>
      <c r="B8" s="11" t="inlineStr">
        <is>
          <t>A Economics &amp; goals</t>
        </is>
      </c>
      <c r="C8" s="12" t="inlineStr">
        <is>
          <t>Record LTV, repeat rate and maximum payback period</t>
        </is>
      </c>
      <c r="D8" s="11" t="inlineStr">
        <is>
          <t>Decides how far below break-even the first order may go.</t>
        </is>
      </c>
      <c r="E8" s="13" t="inlineStr">
        <is>
          <t>Not started</t>
        </is>
      </c>
      <c r="F8" s="14" t="n"/>
      <c r="G8" s="13" t="n"/>
      <c r="H8" s="13" t="n"/>
    </row>
    <row r="9">
      <c r="A9" s="11" t="n">
        <v>4</v>
      </c>
      <c r="B9" s="11" t="inlineStr">
        <is>
          <t>A Economics &amp; goals</t>
        </is>
      </c>
      <c r="C9" s="12" t="inlineStr">
        <is>
          <t>Set daily budget and max ads live</t>
        </is>
      </c>
      <c r="D9" s="11" t="inlineStr">
        <is>
          <t>~$30/day = 1–3 ads; $100–700 = 2–5 winners; $1,000+ = volume.</t>
        </is>
      </c>
      <c r="E9" s="13" t="inlineStr">
        <is>
          <t>Not started</t>
        </is>
      </c>
      <c r="F9" s="14" t="n"/>
      <c r="G9" s="13" t="n"/>
      <c r="H9" s="13" t="n"/>
    </row>
    <row r="10">
      <c r="A10" s="11" t="n">
        <v>5</v>
      </c>
      <c r="B10" s="11" t="inlineStr">
        <is>
          <t>A Economics &amp; goals</t>
        </is>
      </c>
      <c r="C10" s="12" t="inlineStr">
        <is>
          <t>List AOV levers the store can offer</t>
        </is>
      </c>
      <c r="D10" s="11" t="inlineStr">
        <is>
          <t>Bundles, quantity breaks, free-shipping threshold, last-second add-on.</t>
        </is>
      </c>
      <c r="E10" s="13" t="inlineStr">
        <is>
          <t>Not started</t>
        </is>
      </c>
      <c r="F10" s="14" t="n"/>
      <c r="G10" s="13" t="n"/>
      <c r="H10" s="13" t="n"/>
    </row>
    <row r="11">
      <c r="A11" s="15" t="n">
        <v>6</v>
      </c>
      <c r="B11" s="15" t="inlineStr">
        <is>
          <t>B Tracking &amp; setup</t>
        </is>
      </c>
      <c r="C11" s="16" t="inlineStr">
        <is>
          <t>Confirm the pixel on the site is the dataset selected in Ads Manager</t>
        </is>
      </c>
      <c r="D11" s="15" t="inlineStr">
        <is>
          <t>Use Meta Pixel Helper / data advisor; purchase event fires with value.</t>
        </is>
      </c>
      <c r="E11" s="13" t="inlineStr">
        <is>
          <t>Not started</t>
        </is>
      </c>
      <c r="F11" s="14" t="n"/>
      <c r="G11" s="13" t="n"/>
      <c r="H11" s="13" t="n"/>
    </row>
    <row r="12">
      <c r="A12" s="15" t="n">
        <v>7</v>
      </c>
      <c r="B12" s="15" t="inlineStr">
        <is>
          <t>B Tracking &amp; setup</t>
        </is>
      </c>
      <c r="C12" s="16" t="inlineStr">
        <is>
          <t>Save the custom column preset</t>
        </is>
      </c>
      <c r="D12" s="15" t="inlineStr">
        <is>
          <t>Delivery, frequency, CPC (all), clicks (all), cost per link click, link clicks, content views, ATC, checkouts, purchases, cost per result, purchase value, ROAS, spend, budget, impressions, CTR (all), link CTR, CPM, video plays, 3s plays, ThruPlays.</t>
        </is>
      </c>
      <c r="E12" s="13" t="inlineStr">
        <is>
          <t>Not started</t>
        </is>
      </c>
      <c r="F12" s="14" t="n"/>
      <c r="G12" s="13" t="n"/>
      <c r="H12" s="13" t="n"/>
    </row>
    <row r="13">
      <c r="A13" s="15" t="n">
        <v>8</v>
      </c>
      <c r="B13" s="15" t="inlineStr">
        <is>
          <t>B Tracking &amp; setup</t>
        </is>
      </c>
      <c r="C13" s="16" t="inlineStr">
        <is>
          <t>Build custom audiences</t>
        </is>
      </c>
      <c r="D13" s="15" t="inlineStr">
        <is>
          <t>Video viewers 50%, IG/FB engagers 365d, site visitors 30/180d, ATC 180d, purchasers 30/180/730d.</t>
        </is>
      </c>
      <c r="E13" s="13" t="inlineStr">
        <is>
          <t>Not started</t>
        </is>
      </c>
      <c r="F13" s="14" t="n"/>
      <c r="G13" s="13" t="n"/>
      <c r="H13" s="13" t="n"/>
    </row>
    <row r="14">
      <c r="A14" s="15" t="n">
        <v>9</v>
      </c>
      <c r="B14" s="15" t="inlineStr">
        <is>
          <t>B Tracking &amp; setup</t>
        </is>
      </c>
      <c r="C14" s="16" t="inlineStr">
        <is>
          <t>Record the funnel baseline from Shopify</t>
        </is>
      </c>
      <c r="D14" s="15" t="inlineStr">
        <is>
          <t>Sessions, ATC rate, checkout rate, conversion rate. Walk checkout on a phone.</t>
        </is>
      </c>
      <c r="E14" s="13" t="inlineStr">
        <is>
          <t>Not started</t>
        </is>
      </c>
      <c r="F14" s="14" t="n"/>
      <c r="G14" s="13" t="n"/>
      <c r="H14" s="13" t="n"/>
    </row>
    <row r="15">
      <c r="A15" s="17" t="n">
        <v>10</v>
      </c>
      <c r="B15" s="17" t="inlineStr">
        <is>
          <t>C Research &amp; creative</t>
        </is>
      </c>
      <c r="C15" s="18" t="inlineStr">
        <is>
          <t>Mine customer words</t>
        </is>
      </c>
      <c r="D15" s="17" t="inlineStr">
        <is>
          <t>Reviews, comments, tickets, surveys, Reddit, competitor reviews → what they want, what stops them, what they've tried.</t>
        </is>
      </c>
      <c r="E15" s="13" t="inlineStr">
        <is>
          <t>Not started</t>
        </is>
      </c>
      <c r="F15" s="14" t="n"/>
      <c r="G15" s="13" t="n"/>
      <c r="H15" s="13" t="n"/>
    </row>
    <row r="16">
      <c r="A16" s="17" t="n">
        <v>11</v>
      </c>
      <c r="B16" s="17" t="inlineStr">
        <is>
          <t>C Research &amp; creative</t>
        </is>
      </c>
      <c r="C16" s="18" t="inlineStr">
        <is>
          <t>Write 3–5 one-sentence angles</t>
        </is>
      </c>
      <c r="D16" s="17" t="inlineStr">
        <is>
          <t>One problem per ad. List use-case personas (e.g. nursery, RV, trucker).</t>
        </is>
      </c>
      <c r="E16" s="13" t="inlineStr">
        <is>
          <t>Not started</t>
        </is>
      </c>
      <c r="F16" s="14" t="n"/>
      <c r="G16" s="13" t="n"/>
      <c r="H16" s="13" t="n"/>
    </row>
    <row r="17">
      <c r="A17" s="17" t="n">
        <v>12</v>
      </c>
      <c r="B17" s="17" t="inlineStr">
        <is>
          <t>C Research &amp; creative</t>
        </is>
      </c>
      <c r="C17" s="18" t="inlineStr">
        <is>
          <t>Plan visual proof for every claim</t>
        </is>
      </c>
      <c r="D17" s="17" t="inlineStr">
        <is>
          <t>If it says 'fits under the desk', show it under the desk.</t>
        </is>
      </c>
      <c r="E17" s="13" t="inlineStr">
        <is>
          <t>Not started</t>
        </is>
      </c>
      <c r="F17" s="14" t="n"/>
      <c r="G17" s="13" t="n"/>
      <c r="H17" s="13" t="n"/>
    </row>
    <row r="18">
      <c r="A18" s="17" t="n">
        <v>13</v>
      </c>
      <c r="B18" s="17" t="inlineStr">
        <is>
          <t>C Research &amp; creative</t>
        </is>
      </c>
      <c r="C18" s="18" t="inlineStr">
        <is>
          <t>Assemble 5–15 test creatives in mixed formats</t>
        </is>
      </c>
      <c r="D18" s="17" t="inlineStr">
        <is>
          <t>Static, UGC, carousel, demo, testimonial. Real beats polished.</t>
        </is>
      </c>
      <c r="E18" s="13" t="inlineStr">
        <is>
          <t>Not started</t>
        </is>
      </c>
      <c r="F18" s="14" t="n"/>
      <c r="G18" s="13" t="n"/>
      <c r="H18" s="13" t="n"/>
    </row>
    <row r="19">
      <c r="A19" s="17" t="n">
        <v>14</v>
      </c>
      <c r="B19" s="17" t="inlineStr">
        <is>
          <t>C Research &amp; creative</t>
        </is>
      </c>
      <c r="C19" s="18" t="inlineStr">
        <is>
          <t>Check each landing page continues the ad's promise</t>
        </is>
      </c>
      <c r="D19" s="17" t="inlineStr">
        <is>
          <t>Reviews and in-use photos present; CTA visible on mobile.</t>
        </is>
      </c>
      <c r="E19" s="13" t="inlineStr">
        <is>
          <t>Not started</t>
        </is>
      </c>
      <c r="F19" s="14" t="n"/>
      <c r="G19" s="13" t="n"/>
      <c r="H19" s="13" t="n"/>
    </row>
    <row r="20">
      <c r="A20" s="19" t="n">
        <v>15</v>
      </c>
      <c r="B20" s="19" t="inlineStr">
        <is>
          <t>D Stairway tests</t>
        </is>
      </c>
      <c r="C20" s="20" t="inlineStr">
        <is>
          <t>Launch creative test</t>
        </is>
      </c>
      <c r="D20" s="19" t="inlineStr">
        <is>
          <t>Sales, purchase event, campaign budget, broad, acquire new customers, dynamic creative + catalog off. Rule: off at impression cap.</t>
        </is>
      </c>
      <c r="E20" s="13" t="inlineStr">
        <is>
          <t>Not started</t>
        </is>
      </c>
      <c r="F20" s="14" t="n"/>
      <c r="G20" s="13" t="n"/>
      <c r="H20" s="13" t="n"/>
    </row>
    <row r="21">
      <c r="A21" s="19" t="n">
        <v>16</v>
      </c>
      <c r="B21" s="19" t="inlineStr">
        <is>
          <t>D Stairway tests</t>
        </is>
      </c>
      <c r="C21" s="20" t="inlineStr">
        <is>
          <t>Shortlist 2–5 winners in Creative Test Log</t>
        </is>
      </c>
      <c r="D21" s="19" t="inlineStr">
        <is>
          <t>Reached cap + CTR/link-CTR benchmarks + buying behaviour. Ignore 5x on $12.</t>
        </is>
      </c>
      <c r="E21" s="13" t="inlineStr">
        <is>
          <t>Not started</t>
        </is>
      </c>
      <c r="F21" s="14" t="n"/>
      <c r="G21" s="13" t="n"/>
      <c r="H21" s="13" t="n"/>
    </row>
    <row r="22">
      <c r="A22" s="19" t="n">
        <v>17</v>
      </c>
      <c r="B22" s="19" t="inlineStr">
        <is>
          <t>D Stairway tests</t>
        </is>
      </c>
      <c r="C22" s="20" t="inlineStr">
        <is>
          <t>Copy test (only if link CTR &lt; 50% of CTR)</t>
        </is>
      </c>
      <c r="D22" s="19" t="inlineStr">
        <is>
          <t>#1 ad, one copy per ad set, ~$15/day each, ~$200 total.</t>
        </is>
      </c>
      <c r="E22" s="13" t="inlineStr">
        <is>
          <t>Not started</t>
        </is>
      </c>
      <c r="F22" s="14" t="n"/>
      <c r="G22" s="13" t="n"/>
      <c r="H22" s="13" t="n"/>
    </row>
    <row r="23">
      <c r="A23" s="19" t="n">
        <v>18</v>
      </c>
      <c r="B23" s="19" t="inlineStr">
        <is>
          <t>D Stairway tests</t>
        </is>
      </c>
      <c r="C23" s="20" t="inlineStr">
        <is>
          <t>Landing page test</t>
        </is>
      </c>
      <c r="D23" s="19" t="inlineStr">
        <is>
          <t>Home vs collection vs product vs custom page, ~$100 each, ad-set budgets.</t>
        </is>
      </c>
      <c r="E23" s="13" t="inlineStr">
        <is>
          <t>Not started</t>
        </is>
      </c>
      <c r="F23" s="14" t="n"/>
      <c r="G23" s="13" t="n"/>
      <c r="H23" s="13" t="n"/>
    </row>
    <row r="24">
      <c r="A24" s="19" t="n">
        <v>19</v>
      </c>
      <c r="B24" s="19" t="inlineStr">
        <is>
          <t>D Stairway tests</t>
        </is>
      </c>
      <c r="C24" s="20" t="inlineStr">
        <is>
          <t>Audience test</t>
        </is>
      </c>
      <c r="D24" s="19" t="inlineStr">
        <is>
          <t>One interest per ad set, $10–20/day; think laterally (what buyers do). Stack only proven interests.</t>
        </is>
      </c>
      <c r="E24" s="13" t="inlineStr">
        <is>
          <t>Not started</t>
        </is>
      </c>
      <c r="F24" s="14" t="n"/>
      <c r="G24" s="13" t="n"/>
      <c r="H24" s="13" t="n"/>
    </row>
    <row r="25">
      <c r="A25" s="21" t="n">
        <v>20</v>
      </c>
      <c r="B25" s="21" t="inlineStr">
        <is>
          <t>E Launch &amp; scale</t>
        </is>
      </c>
      <c r="C25" s="22" t="inlineStr">
        <is>
          <t>Launch ASC 'winning assets' + interest campaign</t>
        </is>
      </c>
      <c r="D25" s="21" t="inlineStr">
        <is>
          <t>80–90% of budget. Winners #1–3 only.</t>
        </is>
      </c>
      <c r="E25" s="13" t="inlineStr">
        <is>
          <t>Not started</t>
        </is>
      </c>
      <c r="F25" s="14" t="n"/>
      <c r="G25" s="13" t="n"/>
      <c r="H25" s="13" t="n"/>
    </row>
    <row r="26">
      <c r="A26" s="21" t="n">
        <v>21</v>
      </c>
      <c r="B26" s="21" t="inlineStr">
        <is>
          <t>E Launch &amp; scale</t>
        </is>
      </c>
      <c r="C26" s="22" t="inlineStr">
        <is>
          <t>Launch retargeting (middle + bottom ad sets)</t>
        </is>
      </c>
      <c r="D26" s="21" t="inlineStr">
        <is>
          <t>10–20% of budget. Ads #4–8 if they clear 2% CTR. Middle judged on clicks only.</t>
        </is>
      </c>
      <c r="E26" s="13" t="inlineStr">
        <is>
          <t>Not started</t>
        </is>
      </c>
      <c r="F26" s="14" t="n"/>
      <c r="G26" s="13" t="n"/>
      <c r="H26" s="13" t="n"/>
    </row>
    <row r="27">
      <c r="A27" s="21" t="n">
        <v>22</v>
      </c>
      <c r="B27" s="21" t="inlineStr">
        <is>
          <t>E Launch &amp; scale</t>
        </is>
      </c>
      <c r="C27" s="22" t="inlineStr">
        <is>
          <t>Start the Weekly Tracker and book the first review</t>
        </is>
      </c>
      <c r="D27" s="21" t="inlineStr">
        <is>
          <t>Row per week; act on column Z (first leak).</t>
        </is>
      </c>
      <c r="E27" s="13" t="inlineStr">
        <is>
          <t>Not started</t>
        </is>
      </c>
      <c r="F27" s="14" t="n"/>
      <c r="G27" s="13" t="n"/>
      <c r="H27" s="13" t="n"/>
    </row>
    <row r="28">
      <c r="A28" s="21" t="n">
        <v>23</v>
      </c>
      <c r="B28" s="21" t="inlineStr">
        <is>
          <t>E Launch &amp; scale</t>
        </is>
      </c>
      <c r="C28" s="22" t="inlineStr">
        <is>
          <t>Set up the side creative test</t>
        </is>
      </c>
      <c r="D28" s="21" t="inlineStr">
        <is>
          <t>New batches tested beside the main campaigns; graduate only winners.</t>
        </is>
      </c>
      <c r="E28" s="13" t="inlineStr">
        <is>
          <t>Not started</t>
        </is>
      </c>
      <c r="F28" s="14" t="n"/>
      <c r="G28" s="13" t="n"/>
      <c r="H28" s="13" t="n"/>
    </row>
    <row r="29">
      <c r="A29" s="21" t="n">
        <v>24</v>
      </c>
      <c r="B29" s="21" t="inlineStr">
        <is>
          <t>E Launch &amp; scale</t>
        </is>
      </c>
      <c r="C29" s="22" t="inlineStr">
        <is>
          <t>Scale rule agreed with client</t>
        </is>
      </c>
      <c r="D29" s="21" t="inlineStr">
        <is>
          <t>Only above scale-zone ROAS, in $10–20/day steps.</t>
        </is>
      </c>
      <c r="E29" s="13" t="inlineStr">
        <is>
          <t>Not started</t>
        </is>
      </c>
      <c r="F29" s="14" t="n"/>
      <c r="G29" s="13" t="n"/>
      <c r="H29" s="13" t="n"/>
    </row>
  </sheetData>
  <conditionalFormatting sqref="E6:E29">
    <cfRule type="cellIs" priority="1" operator="equal" dxfId="0">
      <formula>"Done"</formula>
    </cfRule>
    <cfRule type="cellIs" priority="2" operator="equal" dxfId="1">
      <formula>"In progress"</formula>
    </cfRule>
  </conditionalFormatting>
  <dataValidations count="1">
    <dataValidation sqref="E6 E7 E8 E9 E10 E11 E12 E13 E14 E15 E16 E17 E18 E19 E20 E21 E22 E23 E24 E25 E26 E27 E28 E29" showDropDown="0" showInputMessage="0" showErrorMessage="0" allowBlank="1" type="list">
      <formula1>"Not started,In progress,Done,N/A"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showGridLines="0" workbookViewId="0">
      <pane ySplit="5" topLeftCell="A6" activePane="bottomLeft" state="frozen"/>
      <selection pane="bottomLeft" activeCell="A1" sqref="A1"/>
    </sheetView>
  </sheetViews>
  <sheetFormatPr baseColWidth="8" defaultRowHeight="15"/>
  <cols>
    <col width="5" customWidth="1" min="1" max="1"/>
    <col width="20" customWidth="1" min="2" max="2"/>
    <col width="48" customWidth="1" min="3" max="3"/>
    <col width="52" customWidth="1" min="4" max="4"/>
    <col width="13" customWidth="1" min="5" max="5"/>
    <col width="11" customWidth="1" min="6" max="6"/>
    <col width="12" customWidth="1" min="7" max="7"/>
    <col width="30" customWidth="1" min="8" max="8"/>
  </cols>
  <sheetData>
    <row r="1">
      <c r="A1" s="1" t="inlineStr">
        <is>
          <t>Existing Client Audit</t>
        </is>
      </c>
    </row>
    <row r="2">
      <c r="A2" s="2" t="inlineStr">
        <is>
          <t>Duplicate per client. Finds the leaks before anything new is built.</t>
        </is>
      </c>
    </row>
    <row r="3">
      <c r="A3" s="7" t="inlineStr">
        <is>
          <t>Client:</t>
        </is>
      </c>
      <c r="B3" s="8" t="n"/>
      <c r="D3" s="7" t="inlineStr">
        <is>
          <t>Progress:</t>
        </is>
      </c>
      <c r="E3" s="9">
        <f>IFERROR(COUNTIF(E6:E28,"Done")/(COUNTA(C6:C28)-COUNTIF(E6:E28,"N/A")),0)</f>
        <v/>
      </c>
    </row>
    <row r="5" ht="32" customHeight="1">
      <c r="A5" s="10" t="inlineStr">
        <is>
          <t>#</t>
        </is>
      </c>
      <c r="B5" s="10" t="inlineStr">
        <is>
          <t>Phase</t>
        </is>
      </c>
      <c r="C5" s="10" t="inlineStr">
        <is>
          <t>Task</t>
        </is>
      </c>
      <c r="D5" s="10" t="inlineStr">
        <is>
          <t>Standard / why</t>
        </is>
      </c>
      <c r="E5" s="10" t="inlineStr">
        <is>
          <t>Status</t>
        </is>
      </c>
      <c r="F5" s="10" t="inlineStr">
        <is>
          <t>Date done</t>
        </is>
      </c>
      <c r="G5" s="10" t="inlineStr">
        <is>
          <t>Owner</t>
        </is>
      </c>
      <c r="H5" s="10" t="inlineStr">
        <is>
          <t>Notes</t>
        </is>
      </c>
    </row>
    <row r="6">
      <c r="A6" s="11" t="n">
        <v>1</v>
      </c>
      <c r="B6" s="11" t="inlineStr">
        <is>
          <t>A Economics</t>
        </is>
      </c>
      <c r="C6" s="12" t="inlineStr">
        <is>
          <t>Fill Client Economics and compare actual ROAS with break-even</t>
        </is>
      </c>
      <c r="D6" s="11" t="inlineStr">
        <is>
          <t>Is the account really unprofitable, or just missing a vanity target?</t>
        </is>
      </c>
      <c r="E6" s="13" t="inlineStr">
        <is>
          <t>Not started</t>
        </is>
      </c>
      <c r="F6" s="14" t="n"/>
      <c r="G6" s="13" t="n"/>
      <c r="H6" s="13" t="n"/>
    </row>
    <row r="7">
      <c r="A7" s="11" t="n">
        <v>2</v>
      </c>
      <c r="B7" s="11" t="inlineStr">
        <is>
          <t>A Economics</t>
        </is>
      </c>
      <c r="C7" s="12" t="inlineStr">
        <is>
          <t>Check the goal is realistic</t>
        </is>
      </c>
      <c r="D7" s="11" t="inlineStr">
        <is>
          <t>Profit-first vs growth-first; scale zone above break-even × multiple.</t>
        </is>
      </c>
      <c r="E7" s="13" t="inlineStr">
        <is>
          <t>Not started</t>
        </is>
      </c>
      <c r="F7" s="14" t="n"/>
      <c r="G7" s="13" t="n"/>
      <c r="H7" s="13" t="n"/>
    </row>
    <row r="8">
      <c r="A8" s="15" t="n">
        <v>3</v>
      </c>
      <c r="B8" s="15" t="inlineStr">
        <is>
          <t>B Structure &amp; spend</t>
        </is>
      </c>
      <c r="C8" s="16" t="inlineStr">
        <is>
          <t>Count active ads vs daily budget</t>
        </is>
      </c>
      <c r="D8" s="15" t="inlineStr">
        <is>
          <t>More ads than the budget supports = money spread thin.</t>
        </is>
      </c>
      <c r="E8" s="13" t="inlineStr">
        <is>
          <t>Not started</t>
        </is>
      </c>
      <c r="F8" s="14" t="n"/>
      <c r="G8" s="13" t="n"/>
      <c r="H8" s="13" t="n"/>
    </row>
    <row r="9">
      <c r="A9" s="15" t="n">
        <v>4</v>
      </c>
      <c r="B9" s="15" t="inlineStr">
        <is>
          <t>B Structure &amp; spend</t>
        </is>
      </c>
      <c r="C9" s="16" t="inlineStr">
        <is>
          <t>Ad level, last 6–12 months, sorted by spend (not ROAS)</t>
        </is>
      </c>
      <c r="D9" s="15" t="inlineStr">
        <is>
          <t>What % of spend goes to the top 3 ads? Usually ~30% of ads drive the sales.</t>
        </is>
      </c>
      <c r="E9" s="13" t="inlineStr">
        <is>
          <t>Not started</t>
        </is>
      </c>
      <c r="F9" s="14" t="n"/>
      <c r="G9" s="13" t="n"/>
      <c r="H9" s="13" t="n"/>
    </row>
    <row r="10">
      <c r="A10" s="15" t="n">
        <v>5</v>
      </c>
      <c r="B10" s="15" t="inlineStr">
        <is>
          <t>B Structure &amp; spend</t>
        </is>
      </c>
      <c r="C10" s="16" t="inlineStr">
        <is>
          <t>Build the cut list</t>
        </is>
      </c>
      <c r="D10" s="15" t="inlineStr">
        <is>
          <t>Meaningful spend and CPA consistently above target → off (e.g. $28 CPA vs $15 goal).</t>
        </is>
      </c>
      <c r="E10" s="13" t="inlineStr">
        <is>
          <t>Not started</t>
        </is>
      </c>
      <c r="F10" s="14" t="n"/>
      <c r="G10" s="13" t="n"/>
      <c r="H10" s="13" t="n"/>
    </row>
    <row r="11">
      <c r="A11" s="15" t="n">
        <v>6</v>
      </c>
      <c r="B11" s="15" t="inlineStr">
        <is>
          <t>B Structure &amp; spend</t>
        </is>
      </c>
      <c r="C11" s="16" t="inlineStr">
        <is>
          <t>Build the 'shadow' retest list</t>
        </is>
      </c>
      <c r="D11" s="15" t="inlineStr">
        <is>
          <t>Low spend but strong link CTR / cheap CPM → into a capped creative test.</t>
        </is>
      </c>
      <c r="E11" s="13" t="inlineStr">
        <is>
          <t>Not started</t>
        </is>
      </c>
      <c r="F11" s="14" t="n"/>
      <c r="G11" s="13" t="n"/>
      <c r="H11" s="13" t="n"/>
    </row>
    <row r="12">
      <c r="A12" s="15" t="n">
        <v>7</v>
      </c>
      <c r="B12" s="15" t="inlineStr">
        <is>
          <t>B Structure &amp; spend</t>
        </is>
      </c>
      <c r="C12" s="16" t="inlineStr">
        <is>
          <t>Are tests mixed into the money campaigns?</t>
        </is>
      </c>
      <c r="D12" s="15" t="inlineStr">
        <is>
          <t>Tests must run in separate campaigns.</t>
        </is>
      </c>
      <c r="E12" s="13" t="inlineStr">
        <is>
          <t>Not started</t>
        </is>
      </c>
      <c r="F12" s="14" t="n"/>
      <c r="G12" s="13" t="n"/>
      <c r="H12" s="13" t="n"/>
    </row>
    <row r="13">
      <c r="A13" s="15" t="n">
        <v>8</v>
      </c>
      <c r="B13" s="15" t="inlineStr">
        <is>
          <t>B Structure &amp; spend</t>
        </is>
      </c>
      <c r="C13" s="16" t="inlineStr">
        <is>
          <t>Objective = Sales, optimisation = Purchase</t>
        </is>
      </c>
      <c r="D13" s="15" t="inlineStr">
        <is>
          <t>Add-to-cart or traffic optimisation finds non-buyers.</t>
        </is>
      </c>
      <c r="E13" s="13" t="inlineStr">
        <is>
          <t>Not started</t>
        </is>
      </c>
      <c r="F13" s="14" t="n"/>
      <c r="G13" s="13" t="n"/>
      <c r="H13" s="13" t="n"/>
    </row>
    <row r="14">
      <c r="A14" s="15" t="n">
        <v>9</v>
      </c>
      <c r="B14" s="15" t="inlineStr">
        <is>
          <t>B Structure &amp; spend</t>
        </is>
      </c>
      <c r="C14" s="16" t="inlineStr">
        <is>
          <t>Budget split prospecting vs retargeting</t>
        </is>
      </c>
      <c r="D14" s="15" t="inlineStr">
        <is>
          <t>Target 80–90% / 10–20%.</t>
        </is>
      </c>
      <c r="E14" s="13" t="inlineStr">
        <is>
          <t>Not started</t>
        </is>
      </c>
      <c r="F14" s="14" t="n"/>
      <c r="G14" s="13" t="n"/>
      <c r="H14" s="13" t="n"/>
    </row>
    <row r="15">
      <c r="A15" s="15" t="n">
        <v>10</v>
      </c>
      <c r="B15" s="15" t="inlineStr">
        <is>
          <t>B Structure &amp; spend</t>
        </is>
      </c>
      <c r="C15" s="16" t="inlineStr">
        <is>
          <t>Retargeting segmented with exclusions</t>
        </is>
      </c>
      <c r="D15" s="15" t="inlineStr">
        <is>
          <t>Middle excludes site visitors 180d + purchasers 730d; bottom excludes purchasers 30d.</t>
        </is>
      </c>
      <c r="E15" s="13" t="inlineStr">
        <is>
          <t>Not started</t>
        </is>
      </c>
      <c r="F15" s="14" t="n"/>
      <c r="G15" s="13" t="n"/>
      <c r="H15" s="13" t="n"/>
    </row>
    <row r="16">
      <c r="A16" s="17" t="n">
        <v>11</v>
      </c>
      <c r="B16" s="17" t="inlineStr">
        <is>
          <t>C Funnel</t>
        </is>
      </c>
      <c r="C16" s="18" t="inlineStr">
        <is>
          <t>Paste last 30 days into Weekly Tracker</t>
        </is>
      </c>
      <c r="D16" s="17" t="inlineStr">
        <is>
          <t>Column Z names the first leak. Fix only that one first.</t>
        </is>
      </c>
      <c r="E16" s="13" t="inlineStr">
        <is>
          <t>Not started</t>
        </is>
      </c>
      <c r="F16" s="14" t="n"/>
      <c r="G16" s="13" t="n"/>
      <c r="H16" s="13" t="n"/>
    </row>
    <row r="17">
      <c r="A17" s="17" t="n">
        <v>12</v>
      </c>
      <c r="B17" s="17" t="inlineStr">
        <is>
          <t>C Funnel</t>
        </is>
      </c>
      <c r="C17" s="18" t="inlineStr">
        <is>
          <t>Link clicks vs landing page views gap</t>
        </is>
      </c>
      <c r="D17" s="17" t="inlineStr">
        <is>
          <t>Large gap = speed, tracking, mobile.</t>
        </is>
      </c>
      <c r="E17" s="13" t="inlineStr">
        <is>
          <t>Not started</t>
        </is>
      </c>
      <c r="F17" s="14" t="n"/>
      <c r="G17" s="13" t="n"/>
      <c r="H17" s="13" t="n"/>
    </row>
    <row r="18">
      <c r="A18" s="17" t="n">
        <v>13</v>
      </c>
      <c r="B18" s="17" t="inlineStr">
        <is>
          <t>C Funnel</t>
        </is>
      </c>
      <c r="C18" s="18" t="inlineStr">
        <is>
          <t>Add-to-cart rate vs 10%</t>
        </is>
      </c>
      <c r="D18" s="17" t="inlineStr">
        <is>
          <t>Below = product page, offer, trust, ad-page mismatch.</t>
        </is>
      </c>
      <c r="E18" s="13" t="inlineStr">
        <is>
          <t>Not started</t>
        </is>
      </c>
      <c r="F18" s="14" t="n"/>
      <c r="G18" s="13" t="n"/>
      <c r="H18" s="13" t="n"/>
    </row>
    <row r="19">
      <c r="A19" s="17" t="n">
        <v>14</v>
      </c>
      <c r="B19" s="17" t="inlineStr">
        <is>
          <t>C Funnel</t>
        </is>
      </c>
      <c r="C19" s="18" t="inlineStr">
        <is>
          <t>Cart → checkout and checkout → purchase</t>
        </is>
      </c>
      <c r="D19" s="17" t="inlineStr">
        <is>
          <t>More than 50% lost at a step = shipping, clutter, payment, trust.</t>
        </is>
      </c>
      <c r="E19" s="13" t="inlineStr">
        <is>
          <t>Not started</t>
        </is>
      </c>
      <c r="F19" s="14" t="n"/>
      <c r="G19" s="13" t="n"/>
      <c r="H19" s="13" t="n"/>
    </row>
    <row r="20">
      <c r="A20" s="17" t="n">
        <v>15</v>
      </c>
      <c r="B20" s="17" t="inlineStr">
        <is>
          <t>C Funnel</t>
        </is>
      </c>
      <c r="C20" s="18" t="inlineStr">
        <is>
          <t>Walk the funnel on a phone</t>
        </is>
      </c>
      <c r="D20" s="17" t="inlineStr">
        <is>
          <t>Nearly all traffic is mobile.</t>
        </is>
      </c>
      <c r="E20" s="13" t="inlineStr">
        <is>
          <t>Not started</t>
        </is>
      </c>
      <c r="F20" s="14" t="n"/>
      <c r="G20" s="13" t="n"/>
      <c r="H20" s="13" t="n"/>
    </row>
    <row r="21">
      <c r="A21" s="19" t="n">
        <v>16</v>
      </c>
      <c r="B21" s="19" t="inlineStr">
        <is>
          <t>D Creative</t>
        </is>
      </c>
      <c r="C21" s="20" t="inlineStr">
        <is>
          <t>Teardown of the top 5 ads</t>
        </is>
      </c>
      <c r="D21" s="19" t="inlineStr">
        <is>
          <t>Format, core idea, hook, selling point, funnel numbers, landing page match.</t>
        </is>
      </c>
      <c r="E21" s="13" t="inlineStr">
        <is>
          <t>Not started</t>
        </is>
      </c>
      <c r="F21" s="14" t="n"/>
      <c r="G21" s="13" t="n"/>
      <c r="H21" s="13" t="n"/>
    </row>
    <row r="22">
      <c r="A22" s="19" t="n">
        <v>17</v>
      </c>
      <c r="B22" s="19" t="inlineStr">
        <is>
          <t>D Creative</t>
        </is>
      </c>
      <c r="C22" s="20" t="inlineStr">
        <is>
          <t>Flag high-CTR / low-link-CTR ads</t>
        </is>
      </c>
      <c r="D22" s="19" t="inlineStr">
        <is>
          <t>Attention without intent (the 10.9% CTR ad that sold nothing).</t>
        </is>
      </c>
      <c r="E22" s="13" t="inlineStr">
        <is>
          <t>Not started</t>
        </is>
      </c>
      <c r="F22" s="14" t="n"/>
      <c r="G22" s="13" t="n"/>
      <c r="H22" s="13" t="n"/>
    </row>
    <row r="23">
      <c r="A23" s="19" t="n">
        <v>18</v>
      </c>
      <c r="B23" s="19" t="inlineStr">
        <is>
          <t>D Creative</t>
        </is>
      </c>
      <c r="C23" s="20" t="inlineStr">
        <is>
          <t>Fatigue check</t>
        </is>
      </c>
      <c r="D23" s="19" t="inlineStr">
        <is>
          <t>Rising frequency and CPM, falling CTR on long-running winners → brief variations.</t>
        </is>
      </c>
      <c r="E23" s="13" t="inlineStr">
        <is>
          <t>Not started</t>
        </is>
      </c>
      <c r="F23" s="14" t="n"/>
      <c r="G23" s="13" t="n"/>
      <c r="H23" s="13" t="n"/>
    </row>
    <row r="24">
      <c r="A24" s="21" t="n">
        <v>19</v>
      </c>
      <c r="B24" s="21" t="inlineStr">
        <is>
          <t>E Landing pages</t>
        </is>
      </c>
      <c r="C24" s="22" t="inlineStr">
        <is>
          <t>List which URLs each ad sends to</t>
        </is>
      </c>
      <c r="D24" s="21" t="inlineStr">
        <is>
          <t>Was the destination ever tested? Homepage vs product can be 0x vs 3.7x.</t>
        </is>
      </c>
      <c r="E24" s="13" t="inlineStr">
        <is>
          <t>Not started</t>
        </is>
      </c>
      <c r="F24" s="14" t="n"/>
      <c r="G24" s="13" t="n"/>
      <c r="H24" s="13" t="n"/>
    </row>
    <row r="25">
      <c r="A25" s="23" t="n">
        <v>20</v>
      </c>
      <c r="B25" s="23" t="inlineStr">
        <is>
          <t>F Breakdowns</t>
        </is>
      </c>
      <c r="C25" s="24" t="inlineStr">
        <is>
          <t>Platform, gender and age breakdowns</t>
        </is>
      </c>
      <c r="D25" s="23" t="inlineStr">
        <is>
          <t>Spin off tests (e.g. Instagram-only, women-only) where buyers concentrate.</t>
        </is>
      </c>
      <c r="E25" s="13" t="inlineStr">
        <is>
          <t>Not started</t>
        </is>
      </c>
      <c r="F25" s="14" t="n"/>
      <c r="G25" s="13" t="n"/>
      <c r="H25" s="13" t="n"/>
    </row>
    <row r="26">
      <c r="A26" s="25" t="n">
        <v>21</v>
      </c>
      <c r="B26" s="25" t="inlineStr">
        <is>
          <t>G Plan</t>
        </is>
      </c>
      <c r="C26" s="26" t="inlineStr">
        <is>
          <t>Rank the top 3 constraints</t>
        </is>
      </c>
      <c r="D26" s="25" t="inlineStr">
        <is>
          <t>Ordered by where the money leaks first.</t>
        </is>
      </c>
      <c r="E26" s="13" t="inlineStr">
        <is>
          <t>Not started</t>
        </is>
      </c>
      <c r="F26" s="14" t="n"/>
      <c r="G26" s="13" t="n"/>
      <c r="H26" s="13" t="n"/>
    </row>
    <row r="27">
      <c r="A27" s="25" t="n">
        <v>22</v>
      </c>
      <c r="B27" s="25" t="inlineStr">
        <is>
          <t>G Plan</t>
        </is>
      </c>
      <c r="C27" s="26" t="inlineStr">
        <is>
          <t>Write the 30-day stairway plan</t>
        </is>
      </c>
      <c r="D27" s="25" t="inlineStr">
        <is>
          <t>Which step starts where, with budgets.</t>
        </is>
      </c>
      <c r="E27" s="13" t="inlineStr">
        <is>
          <t>Not started</t>
        </is>
      </c>
      <c r="F27" s="14" t="n"/>
      <c r="G27" s="13" t="n"/>
      <c r="H27" s="13" t="n"/>
    </row>
    <row r="28">
      <c r="A28" s="25" t="n">
        <v>23</v>
      </c>
      <c r="B28" s="25" t="inlineStr">
        <is>
          <t>G Plan</t>
        </is>
      </c>
      <c r="C28" s="26" t="inlineStr">
        <is>
          <t>Propose one AOV lever</t>
        </is>
      </c>
      <c r="D28" s="25" t="inlineStr">
        <is>
          <t>Bundle, quantity break or shipping threshold.</t>
        </is>
      </c>
      <c r="E28" s="13" t="inlineStr">
        <is>
          <t>Not started</t>
        </is>
      </c>
      <c r="F28" s="14" t="n"/>
      <c r="G28" s="13" t="n"/>
      <c r="H28" s="13" t="n"/>
    </row>
  </sheetData>
  <conditionalFormatting sqref="E6:E28">
    <cfRule type="cellIs" priority="1" operator="equal" dxfId="0">
      <formula>"Done"</formula>
    </cfRule>
    <cfRule type="cellIs" priority="2" operator="equal" dxfId="1">
      <formula>"In progress"</formula>
    </cfRule>
  </conditionalFormatting>
  <dataValidations count="1">
    <dataValidation sqref="E6 E7 E8 E9 E10 E11 E12 E13 E14 E15 E16 E17 E18 E19 E20 E21 E22 E23 E24 E25 E26 E27 E28" showDropDown="0" showInputMessage="0" showErrorMessage="0" allowBlank="1" type="list">
      <formula1>"Not started,In progress,Done,N/A"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ySplit="5" topLeftCell="A6" activePane="bottomLeft" state="frozen"/>
      <selection pane="bottomLeft" activeCell="A1" sqref="A1"/>
    </sheetView>
  </sheetViews>
  <sheetFormatPr baseColWidth="8" defaultRowHeight="15"/>
  <cols>
    <col width="5" customWidth="1" min="1" max="1"/>
    <col width="20" customWidth="1" min="2" max="2"/>
    <col width="48" customWidth="1" min="3" max="3"/>
    <col width="52" customWidth="1" min="4" max="4"/>
    <col width="13" customWidth="1" min="5" max="5"/>
    <col width="11" customWidth="1" min="6" max="6"/>
    <col width="12" customWidth="1" min="7" max="7"/>
    <col width="30" customWidth="1" min="8" max="8"/>
  </cols>
  <sheetData>
    <row r="1">
      <c r="A1" s="1" t="inlineStr">
        <is>
          <t>Weekly Routine</t>
        </is>
      </c>
    </row>
    <row r="2">
      <c r="A2" s="2" t="inlineStr">
        <is>
          <t>Recurring cadence for every live client.</t>
        </is>
      </c>
    </row>
    <row r="3">
      <c r="A3" s="7" t="inlineStr">
        <is>
          <t>Client:</t>
        </is>
      </c>
      <c r="B3" s="8" t="n"/>
      <c r="D3" s="7" t="inlineStr">
        <is>
          <t>Progress:</t>
        </is>
      </c>
      <c r="E3" s="9">
        <f>IFERROR(COUNTIF(E6:E15,"Done")/(COUNTA(C6:C15)-COUNTIF(E6:E15,"N/A")),0)</f>
        <v/>
      </c>
    </row>
    <row r="5" ht="32" customHeight="1">
      <c r="A5" s="10" t="inlineStr">
        <is>
          <t>#</t>
        </is>
      </c>
      <c r="B5" s="10" t="inlineStr">
        <is>
          <t>Phase</t>
        </is>
      </c>
      <c r="C5" s="10" t="inlineStr">
        <is>
          <t>Task</t>
        </is>
      </c>
      <c r="D5" s="10" t="inlineStr">
        <is>
          <t>Standard / why</t>
        </is>
      </c>
      <c r="E5" s="10" t="inlineStr">
        <is>
          <t>Status</t>
        </is>
      </c>
      <c r="F5" s="10" t="inlineStr">
        <is>
          <t>Date done</t>
        </is>
      </c>
      <c r="G5" s="10" t="inlineStr">
        <is>
          <t>Owner</t>
        </is>
      </c>
      <c r="H5" s="10" t="inlineStr">
        <is>
          <t>Notes</t>
        </is>
      </c>
    </row>
    <row r="6">
      <c r="A6" s="11" t="n">
        <v>1</v>
      </c>
      <c r="B6" s="11" t="inlineStr">
        <is>
          <t>A Weekly</t>
        </is>
      </c>
      <c r="C6" s="12" t="inlineStr">
        <is>
          <t>Add this week's row per client to Weekly Tracker</t>
        </is>
      </c>
      <c r="D6" s="11" t="inlineStr">
        <is>
          <t>Same day every week.</t>
        </is>
      </c>
      <c r="E6" s="13" t="inlineStr">
        <is>
          <t>Not started</t>
        </is>
      </c>
      <c r="F6" s="14" t="n"/>
      <c r="G6" s="13" t="n"/>
      <c r="H6" s="13" t="n"/>
    </row>
    <row r="7">
      <c r="A7" s="11" t="n">
        <v>2</v>
      </c>
      <c r="B7" s="11" t="inlineStr">
        <is>
          <t>A Weekly</t>
        </is>
      </c>
      <c r="C7" s="12" t="inlineStr">
        <is>
          <t>Act on the first leak only</t>
        </is>
      </c>
      <c r="D7" s="11" t="inlineStr">
        <is>
          <t>One change at a time, logged in Notes.</t>
        </is>
      </c>
      <c r="E7" s="13" t="inlineStr">
        <is>
          <t>Not started</t>
        </is>
      </c>
      <c r="F7" s="14" t="n"/>
      <c r="G7" s="13" t="n"/>
      <c r="H7" s="13" t="n"/>
    </row>
    <row r="8">
      <c r="A8" s="11" t="n">
        <v>3</v>
      </c>
      <c r="B8" s="11" t="inlineStr">
        <is>
          <t>A Weekly</t>
        </is>
      </c>
      <c r="C8" s="12" t="inlineStr">
        <is>
          <t>Update Creative Test Log; pause ads that hit the cap</t>
        </is>
      </c>
      <c r="D8" s="11" t="inlineStr">
        <is>
          <t>Promote winners, cut losers.</t>
        </is>
      </c>
      <c r="E8" s="13" t="inlineStr">
        <is>
          <t>Not started</t>
        </is>
      </c>
      <c r="F8" s="14" t="n"/>
      <c r="G8" s="13" t="n"/>
      <c r="H8" s="13" t="n"/>
    </row>
    <row r="9">
      <c r="A9" s="11" t="n">
        <v>4</v>
      </c>
      <c r="B9" s="11" t="inlineStr">
        <is>
          <t>A Weekly</t>
        </is>
      </c>
      <c r="C9" s="12" t="inlineStr">
        <is>
          <t>Cut ads with meaningful spend above target CPA</t>
        </is>
      </c>
      <c r="D9" s="11" t="inlineStr">
        <is>
          <t>Every ad earns its keep.</t>
        </is>
      </c>
      <c r="E9" s="13" t="inlineStr">
        <is>
          <t>Not started</t>
        </is>
      </c>
      <c r="F9" s="14" t="n"/>
      <c r="G9" s="13" t="n"/>
      <c r="H9" s="13" t="n"/>
    </row>
    <row r="10">
      <c r="A10" s="11" t="n">
        <v>5</v>
      </c>
      <c r="B10" s="11" t="inlineStr">
        <is>
          <t>A Weekly</t>
        </is>
      </c>
      <c r="C10" s="12" t="inlineStr">
        <is>
          <t>Fatigue check on winners</t>
        </is>
      </c>
      <c r="D10" s="11" t="inlineStr">
        <is>
          <t>Frequency, CPM, CTR trend.</t>
        </is>
      </c>
      <c r="E10" s="13" t="inlineStr">
        <is>
          <t>Not started</t>
        </is>
      </c>
      <c r="F10" s="14" t="n"/>
      <c r="G10" s="13" t="n"/>
      <c r="H10" s="13" t="n"/>
    </row>
    <row r="11">
      <c r="A11" s="11" t="n">
        <v>6</v>
      </c>
      <c r="B11" s="11" t="inlineStr">
        <is>
          <t>A Weekly</t>
        </is>
      </c>
      <c r="C11" s="12" t="inlineStr">
        <is>
          <t>Budget step decision</t>
        </is>
      </c>
      <c r="D11" s="11" t="inlineStr">
        <is>
          <t>Above scale zone → +$10–20/day or a new audience; below break-even → hold.</t>
        </is>
      </c>
      <c r="E11" s="13" t="inlineStr">
        <is>
          <t>Not started</t>
        </is>
      </c>
      <c r="F11" s="14" t="n"/>
      <c r="G11" s="13" t="n"/>
      <c r="H11" s="13" t="n"/>
    </row>
    <row r="12">
      <c r="A12" s="15" t="n">
        <v>7</v>
      </c>
      <c r="B12" s="15" t="inlineStr">
        <is>
          <t>B Monthly</t>
        </is>
      </c>
      <c r="C12" s="16" t="inlineStr">
        <is>
          <t>Refresh Client Economics</t>
        </is>
      </c>
      <c r="D12" s="15" t="inlineStr">
        <is>
          <t>Costs, AOV, LTV change.</t>
        </is>
      </c>
      <c r="E12" s="13" t="inlineStr">
        <is>
          <t>Not started</t>
        </is>
      </c>
      <c r="F12" s="14" t="n"/>
      <c r="G12" s="13" t="n"/>
      <c r="H12" s="13" t="n"/>
    </row>
    <row r="13">
      <c r="A13" s="15" t="n">
        <v>8</v>
      </c>
      <c r="B13" s="15" t="inlineStr">
        <is>
          <t>B Monthly</t>
        </is>
      </c>
      <c r="C13" s="16" t="inlineStr">
        <is>
          <t>Brief the next creative batch from winners</t>
        </is>
      </c>
      <c r="D13" s="15" t="inlineStr">
        <is>
          <t>New hook / creator / format / offer / message / angle; one change each.</t>
        </is>
      </c>
      <c r="E13" s="13" t="inlineStr">
        <is>
          <t>Not started</t>
        </is>
      </c>
      <c r="F13" s="14" t="n"/>
      <c r="G13" s="13" t="n"/>
      <c r="H13" s="13" t="n"/>
    </row>
    <row r="14">
      <c r="A14" s="15" t="n">
        <v>9</v>
      </c>
      <c r="B14" s="15" t="inlineStr">
        <is>
          <t>B Monthly</t>
        </is>
      </c>
      <c r="C14" s="16" t="inlineStr">
        <is>
          <t>Review Stairway Test Log learnings with the client</t>
        </is>
      </c>
      <c r="D14" s="15" t="inlineStr">
        <is>
          <t>What we tested, what won, what's next.</t>
        </is>
      </c>
      <c r="E14" s="13" t="inlineStr">
        <is>
          <t>Not started</t>
        </is>
      </c>
      <c r="F14" s="14" t="n"/>
      <c r="G14" s="13" t="n"/>
      <c r="H14" s="13" t="n"/>
    </row>
    <row r="15">
      <c r="A15" s="15" t="n">
        <v>10</v>
      </c>
      <c r="B15" s="15" t="inlineStr">
        <is>
          <t>B Monthly</t>
        </is>
      </c>
      <c r="C15" s="16" t="inlineStr">
        <is>
          <t>Check if a market is topping out (~$500–700/day)</t>
        </is>
      </c>
      <c r="D15" s="15" t="inlineStr">
        <is>
          <t>Plan broader creative or a new persona bucket.</t>
        </is>
      </c>
      <c r="E15" s="13" t="inlineStr">
        <is>
          <t>Not started</t>
        </is>
      </c>
      <c r="F15" s="14" t="n"/>
      <c r="G15" s="13" t="n"/>
      <c r="H15" s="13" t="n"/>
    </row>
  </sheetData>
  <conditionalFormatting sqref="E6:E15">
    <cfRule type="cellIs" priority="1" operator="equal" dxfId="0">
      <formula>"Done"</formula>
    </cfRule>
    <cfRule type="cellIs" priority="2" operator="equal" dxfId="1">
      <formula>"In progress"</formula>
    </cfRule>
  </conditionalFormatting>
  <dataValidations count="1">
    <dataValidation sqref="E6 E7 E8 E9 E10 E11 E12 E13 E14 E15" showDropDown="0" showInputMessage="0" showErrorMessage="0" allowBlank="1" type="list">
      <formula1>"Not started,In progress,Done,N/A"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30" customWidth="1" min="3" max="3"/>
    <col width="12" customWidth="1" min="4" max="4"/>
    <col width="22" customWidth="1" min="5" max="5"/>
    <col width="44" customWidth="1" min="6" max="6"/>
    <col width="44" customWidth="1" min="7" max="7"/>
  </cols>
  <sheetData>
    <row r="1">
      <c r="A1" s="1" t="inlineStr">
        <is>
          <t>KPI Benchmarks</t>
        </is>
      </c>
    </row>
    <row r="2">
      <c r="A2" s="2" t="inlineStr">
        <is>
          <t>Single source of truth for every flag in this workbook. Edit column D to change thresholds.</t>
        </is>
      </c>
    </row>
    <row r="4" ht="32" customHeight="1">
      <c r="A4" s="10" t="inlineStr">
        <is>
          <t>Stage</t>
        </is>
      </c>
      <c r="B4" s="10" t="inlineStr">
        <is>
          <t>Metric</t>
        </is>
      </c>
      <c r="C4" s="10" t="inlineStr">
        <is>
          <t>How it's calculated</t>
        </is>
      </c>
      <c r="D4" s="10" t="inlineStr">
        <is>
          <t>Threshold</t>
        </is>
      </c>
      <c r="E4" s="10" t="inlineStr">
        <is>
          <t>Rule</t>
        </is>
      </c>
      <c r="F4" s="10" t="inlineStr">
        <is>
          <t>If weak, usually…</t>
        </is>
      </c>
      <c r="G4" s="10" t="inlineStr">
        <is>
          <t>Fix</t>
        </is>
      </c>
    </row>
    <row r="5">
      <c r="A5" s="27" t="inlineStr">
        <is>
          <t>Attention</t>
        </is>
      </c>
      <c r="B5" s="27" t="inlineStr">
        <is>
          <t>CTR (all)</t>
        </is>
      </c>
      <c r="C5" s="27" t="inlineStr">
        <is>
          <t>Clicks (all) ÷ Impressions</t>
        </is>
      </c>
      <c r="D5" s="28" t="n">
        <v>0.02</v>
      </c>
      <c r="E5" s="27" t="inlineStr">
        <is>
          <t>≥ (aim for 3%+)</t>
        </is>
      </c>
      <c r="F5" s="27" t="inlineStr">
        <is>
          <t>Slow opening, generic first frame, brand-centric lead</t>
        </is>
      </c>
      <c r="G5" s="27" t="inlineStr">
        <is>
          <t>New hook or first visual</t>
        </is>
      </c>
    </row>
    <row r="6">
      <c r="A6" s="27" t="inlineStr">
        <is>
          <t>Interest</t>
        </is>
      </c>
      <c r="B6" s="27" t="inlineStr">
        <is>
          <t>Link CTR ÷ CTR (all)</t>
        </is>
      </c>
      <c r="C6" s="27" t="inlineStr">
        <is>
          <t>Link CTR divided by CTR (all)</t>
        </is>
      </c>
      <c r="D6" s="28" t="n">
        <v>0.5</v>
      </c>
      <c r="E6" s="27" t="inlineStr">
        <is>
          <t>≥</t>
        </is>
      </c>
      <c r="F6" s="27" t="inlineStr">
        <is>
          <t>Entertaining but benefit unclear, weak offer</t>
        </is>
      </c>
      <c r="G6" s="27" t="inlineStr">
        <is>
          <t>Message, offer, CTA; run copy test</t>
        </is>
      </c>
    </row>
    <row r="7">
      <c r="A7" s="27" t="inlineStr">
        <is>
          <t>Cost</t>
        </is>
      </c>
      <c r="B7" s="27" t="inlineStr">
        <is>
          <t>CPM ($)</t>
        </is>
      </c>
      <c r="C7" s="27" t="inlineStr">
        <is>
          <t>Spend ÷ Impressions × 1,000</t>
        </is>
      </c>
      <c r="D7" s="29" t="n">
        <v>30</v>
      </c>
      <c r="E7" s="27" t="inlineStr">
        <is>
          <t>≤ (new pixel $50–70)</t>
        </is>
      </c>
      <c r="F7" s="27" t="inlineStr">
        <is>
          <t>Expensive delivery</t>
        </is>
      </c>
      <c r="G7" s="27" t="inlineStr">
        <is>
          <t>Judge against CTR, never alone</t>
        </is>
      </c>
    </row>
    <row r="8">
      <c r="A8" s="27" t="inlineStr">
        <is>
          <t>Page load</t>
        </is>
      </c>
      <c r="B8" s="27" t="inlineStr">
        <is>
          <t>Landing page views ÷ Link clicks</t>
        </is>
      </c>
      <c r="C8" s="27" t="inlineStr">
        <is>
          <t>LPV ÷ Link clicks</t>
        </is>
      </c>
      <c r="D8" s="28" t="n">
        <v>0.9</v>
      </c>
      <c r="E8" s="27" t="inlineStr">
        <is>
          <t>≥</t>
        </is>
      </c>
      <c r="F8" s="27" t="inlineStr">
        <is>
          <t>Slow page, tracking, accidental clicks, poor mobile</t>
        </is>
      </c>
      <c r="G8" s="27" t="inlineStr">
        <is>
          <t>Page speed and mobile first</t>
        </is>
      </c>
    </row>
    <row r="9">
      <c r="A9" s="27" t="inlineStr">
        <is>
          <t>Buying intent</t>
        </is>
      </c>
      <c r="B9" s="27" t="inlineStr">
        <is>
          <t>Add-to-cart rate</t>
        </is>
      </c>
      <c r="C9" s="27" t="inlineStr">
        <is>
          <t>Adds to cart ÷ LPV</t>
        </is>
      </c>
      <c r="D9" s="28" t="n">
        <v>0.1</v>
      </c>
      <c r="E9" s="27" t="inlineStr">
        <is>
          <t>≥</t>
        </is>
      </c>
      <c r="F9" s="27" t="inlineStr">
        <is>
          <t>Ad promise not continued, price friction, no reviews/in-use photos</t>
        </is>
      </c>
      <c r="G9" s="27" t="inlineStr">
        <is>
          <t>Product page, social proof, bolder CTA, landing page test</t>
        </is>
      </c>
    </row>
    <row r="10">
      <c r="A10" s="27" t="inlineStr">
        <is>
          <t>Cart</t>
        </is>
      </c>
      <c r="B10" s="27" t="inlineStr">
        <is>
          <t>Cart → checkout</t>
        </is>
      </c>
      <c r="C10" s="27" t="inlineStr">
        <is>
          <t>Checkouts ÷ Adds to cart</t>
        </is>
      </c>
      <c r="D10" s="28" t="n">
        <v>0.5</v>
      </c>
      <c r="E10" s="27" t="inlineStr">
        <is>
          <t>≥ (lose ≤ 50%)</t>
        </is>
      </c>
      <c r="F10" s="27" t="inlineStr">
        <is>
          <t>Surprise shipping, upsell clutter, hidden mobile button</t>
        </is>
      </c>
      <c r="G10" s="27" t="inlineStr">
        <is>
          <t>Clean cart, show free shipping, stars near CTA</t>
        </is>
      </c>
    </row>
    <row r="11">
      <c r="A11" s="27" t="inlineStr">
        <is>
          <t>Checkout</t>
        </is>
      </c>
      <c r="B11" s="27" t="inlineStr">
        <is>
          <t>Checkout → purchase</t>
        </is>
      </c>
      <c r="C11" s="27" t="inlineStr">
        <is>
          <t>Purchases ÷ Checkouts</t>
        </is>
      </c>
      <c r="D11" s="28" t="n">
        <v>0.5</v>
      </c>
      <c r="E11" s="27" t="inlineStr">
        <is>
          <t>≥ (lose ≤ 50%)</t>
        </is>
      </c>
      <c r="F11" s="27" t="inlineStr">
        <is>
          <t>Payment options, trust, delivery time, no urgency</t>
        </is>
      </c>
      <c r="G11" s="27" t="inlineStr">
        <is>
          <t>5%-off-24h BOF retargeting, more touchpoints</t>
        </is>
      </c>
    </row>
    <row r="12">
      <c r="A12" s="27" t="inlineStr">
        <is>
          <t>Economics</t>
        </is>
      </c>
      <c r="B12" s="27" t="inlineStr">
        <is>
          <t>ROAS ÷ break-even ROAS</t>
        </is>
      </c>
      <c r="C12" s="27" t="inlineStr">
        <is>
          <t>ROAS ÷ Client Economics break-even</t>
        </is>
      </c>
      <c r="D12" s="30" t="n">
        <v>1</v>
      </c>
      <c r="E12" s="27" t="inlineStr">
        <is>
          <t>≥</t>
        </is>
      </c>
      <c r="F12" s="27" t="inlineStr">
        <is>
          <t>Cost per sale above what the margin allows</t>
        </is>
      </c>
      <c r="G12" s="27" t="inlineStr">
        <is>
          <t>Raise AOV first, then CPC / conversion</t>
        </is>
      </c>
    </row>
    <row r="13">
      <c r="A13" s="27" t="inlineStr">
        <is>
          <t>Scale zone</t>
        </is>
      </c>
      <c r="B13" s="27" t="inlineStr">
        <is>
          <t>Scale-zone multiple</t>
        </is>
      </c>
      <c r="C13" s="27" t="inlineStr">
        <is>
          <t>Break-even ROAS × this = safe-to-scale ROAS</t>
        </is>
      </c>
      <c r="D13" s="31" t="n">
        <v>1.5</v>
      </c>
      <c r="E13" s="27" t="inlineStr">
        <is>
          <t>×</t>
        </is>
      </c>
      <c r="F13" s="27" t="inlineStr">
        <is>
          <t>—</t>
        </is>
      </c>
      <c r="G13" s="27" t="inlineStr">
        <is>
          <t>Scale in $10–20/day steps above this</t>
        </is>
      </c>
    </row>
    <row r="14">
      <c r="A14" s="27" t="inlineStr">
        <is>
          <t>Creative test</t>
        </is>
      </c>
      <c r="B14" s="27" t="inlineStr">
        <is>
          <t>Impression cap per ad</t>
        </is>
      </c>
      <c r="C14" s="27" t="inlineStr">
        <is>
          <t>Rule: turn ad off above this</t>
        </is>
      </c>
      <c r="D14" s="32" t="n">
        <v>1000</v>
      </c>
      <c r="E14" s="27" t="inlineStr">
        <is>
          <t>impressions</t>
        </is>
      </c>
      <c r="F14" s="27" t="inlineStr">
        <is>
          <t>Judging ads on too little data</t>
        </is>
      </c>
      <c r="G14" s="27" t="inlineStr">
        <is>
          <t>800 on new pixel with $50–70 CPM; 2–3k if budget allows</t>
        </is>
      </c>
    </row>
    <row r="16">
      <c r="A16" s="33" t="inlineStr">
        <is>
          <t>Sources: benchmarks quoted in the videos (CTR 2–3%, link CTR ≥ 50% of CTR, CPM ~$28–30, ATC 10%, ≤ 50% drop per checkout step, 1,000-impression minimum).</t>
        </is>
      </c>
    </row>
    <row r="17">
      <c r="A17" s="33" t="inlineStr">
        <is>
          <t>Assumptions (not stated in the videos): page-load ratio 90% ('small gap'); scale-zone multiple 1.5× break-even (video example: 1.67 break-even → scale above ~2.5–3x).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4"/>
  <sheetViews>
    <sheetView showGridLines="0" workbookViewId="0">
      <pane ySplit="4" topLeftCell="A5" activePane="bottomLeft" state="frozen"/>
      <selection pane="bottomLeft" activeCell="A1" sqref="A1"/>
    </sheetView>
  </sheetViews>
  <sheetFormatPr baseColWidth="8" defaultRowHeight="15"/>
  <cols>
    <col width="18" customWidth="1" min="1" max="1"/>
    <col width="12" customWidth="1" min="2" max="2"/>
    <col width="10" customWidth="1" min="3" max="3"/>
    <col width="12" customWidth="1" min="4" max="4"/>
    <col width="12" customWidth="1" min="5" max="5"/>
    <col width="12" customWidth="1" min="6" max="6"/>
    <col width="12" customWidth="1" min="7" max="7"/>
    <col width="12" customWidth="1" min="8" max="8"/>
    <col width="12" customWidth="1" min="9" max="9"/>
    <col width="11" customWidth="1" min="10" max="10"/>
    <col width="11" customWidth="1" min="11" max="11"/>
    <col width="11" customWidth="1" min="12" max="12"/>
    <col width="11" customWidth="1" min="13" max="13"/>
    <col width="11" customWidth="1" min="14" max="14"/>
    <col width="11" customWidth="1" min="15" max="15"/>
    <col width="13" customWidth="1" min="16" max="16"/>
    <col width="13" customWidth="1" min="17" max="17"/>
    <col width="22" customWidth="1" min="18" max="18"/>
    <col width="30" customWidth="1" min="19" max="19"/>
  </cols>
  <sheetData>
    <row r="1">
      <c r="A1" s="1" t="inlineStr">
        <is>
          <t>Client Economics</t>
        </is>
      </c>
    </row>
    <row r="2">
      <c r="A2" s="2" t="inlineStr">
        <is>
          <t>One row per client. Yellow = inputs. Break-even and budget structure calculate automatically.</t>
        </is>
      </c>
    </row>
    <row r="4" ht="32" customHeight="1">
      <c r="A4" s="10" t="inlineStr">
        <is>
          <t>Client</t>
        </is>
      </c>
      <c r="B4" s="10" t="inlineStr">
        <is>
          <t>Goal</t>
        </is>
      </c>
      <c r="C4" s="10" t="inlineStr">
        <is>
          <t>AOV ($)</t>
        </is>
      </c>
      <c r="D4" s="10" t="inlineStr">
        <is>
          <t>Product cost / order ($)</t>
        </is>
      </c>
      <c r="E4" s="10" t="inlineStr">
        <is>
          <t>Fulfilment / order ($)</t>
        </is>
      </c>
      <c r="F4" s="10" t="inlineStr">
        <is>
          <t>Payment fees / order ($)</t>
        </is>
      </c>
      <c r="G4" s="10" t="inlineStr">
        <is>
          <t>Other variable cost / order ($)</t>
        </is>
      </c>
      <c r="H4" s="10" t="inlineStr">
        <is>
          <t>Margin per order ($)</t>
        </is>
      </c>
      <c r="I4" s="10" t="inlineStr">
        <is>
          <t>Break-even CPA ($)</t>
        </is>
      </c>
      <c r="J4" s="10" t="inlineStr">
        <is>
          <t>Break-even ROAS</t>
        </is>
      </c>
      <c r="K4" s="10" t="inlineStr">
        <is>
          <t>Scale-zone ROAS</t>
        </is>
      </c>
      <c r="L4" s="10" t="inlineStr">
        <is>
          <t>Target CPA ($)</t>
        </is>
      </c>
      <c r="M4" s="10" t="inlineStr">
        <is>
          <t>12-month LTV ($)</t>
        </is>
      </c>
      <c r="N4" s="10" t="inlineStr">
        <is>
          <t>Max payback (days)</t>
        </is>
      </c>
      <c r="O4" s="10" t="inlineStr">
        <is>
          <t>Daily budget ($)</t>
        </is>
      </c>
      <c r="P4" s="10" t="inlineStr">
        <is>
          <t>Prospecting budget ($/day)</t>
        </is>
      </c>
      <c r="Q4" s="10" t="inlineStr">
        <is>
          <t>Retargeting budget ($/day)</t>
        </is>
      </c>
      <c r="R4" s="10" t="inlineStr">
        <is>
          <t>Max ads live</t>
        </is>
      </c>
      <c r="S4" s="10" t="inlineStr">
        <is>
          <t>Notes</t>
        </is>
      </c>
    </row>
    <row r="5">
      <c r="A5" s="13" t="inlineStr">
        <is>
          <t>Example Outdoor Co</t>
        </is>
      </c>
      <c r="B5" s="13" t="inlineStr">
        <is>
          <t>Growth-first</t>
        </is>
      </c>
      <c r="C5" s="34" t="n">
        <v>100</v>
      </c>
      <c r="D5" s="35" t="n">
        <v>30</v>
      </c>
      <c r="E5" s="35" t="n">
        <v>5</v>
      </c>
      <c r="F5" s="35" t="n">
        <v>5</v>
      </c>
      <c r="G5" s="35" t="n">
        <v>0</v>
      </c>
      <c r="H5" s="36">
        <f>IF(C5="","",C5-SUM(D5:G5))</f>
        <v/>
      </c>
      <c r="I5" s="36">
        <f>IF(C5="","",H5)</f>
        <v/>
      </c>
      <c r="J5" s="37">
        <f>IF(OR(C5="",H5&lt;=0),"",C5/H5)</f>
        <v/>
      </c>
      <c r="K5" s="37">
        <f>IF(J5="","",J5*'KPI Benchmarks'!$D$13)</f>
        <v/>
      </c>
      <c r="L5" s="35" t="n">
        <v>30</v>
      </c>
      <c r="M5" s="34" t="n">
        <v>180</v>
      </c>
      <c r="N5" s="38" t="n">
        <v>60</v>
      </c>
      <c r="O5" s="34" t="n">
        <v>100</v>
      </c>
      <c r="P5" s="39">
        <f>IF(O5="","",O5*0.85)</f>
        <v/>
      </c>
      <c r="Q5" s="39">
        <f>IF(O5="","",O5*0.15)</f>
        <v/>
      </c>
      <c r="R5" s="27">
        <f>IF(O5="","",IF(O5&lt;50,"1–3 ads",IF(O5&lt;=700,"2–5 proven winners","5+ winners; weekly test batches")))</f>
        <v/>
      </c>
      <c r="S5" s="13" t="inlineStr">
        <is>
          <t>Video example: $100 order, $60 margin → 1.67x break-even</t>
        </is>
      </c>
    </row>
    <row r="6">
      <c r="A6" s="13" t="n"/>
      <c r="B6" s="13" t="n"/>
      <c r="C6" s="34" t="n"/>
      <c r="D6" s="35" t="n"/>
      <c r="E6" s="35" t="n"/>
      <c r="F6" s="35" t="n"/>
      <c r="G6" s="35" t="n"/>
      <c r="H6" s="36">
        <f>IF(C6="","",C6-SUM(D6:G6))</f>
        <v/>
      </c>
      <c r="I6" s="36">
        <f>IF(C6="","",H6)</f>
        <v/>
      </c>
      <c r="J6" s="37">
        <f>IF(OR(C6="",H6&lt;=0),"",C6/H6)</f>
        <v/>
      </c>
      <c r="K6" s="37">
        <f>IF(J6="","",J6*'KPI Benchmarks'!$D$13)</f>
        <v/>
      </c>
      <c r="L6" s="35" t="n"/>
      <c r="M6" s="34" t="n"/>
      <c r="N6" s="38" t="n"/>
      <c r="O6" s="34" t="n"/>
      <c r="P6" s="39">
        <f>IF(O6="","",O6*0.85)</f>
        <v/>
      </c>
      <c r="Q6" s="39">
        <f>IF(O6="","",O6*0.15)</f>
        <v/>
      </c>
      <c r="R6" s="27">
        <f>IF(O6="","",IF(O6&lt;50,"1–3 ads",IF(O6&lt;=700,"2–5 proven winners","5+ winners; weekly test batches")))</f>
        <v/>
      </c>
      <c r="S6" s="13" t="n"/>
    </row>
    <row r="7">
      <c r="A7" s="13" t="n"/>
      <c r="B7" s="13" t="n"/>
      <c r="C7" s="34" t="n"/>
      <c r="D7" s="35" t="n"/>
      <c r="E7" s="35" t="n"/>
      <c r="F7" s="35" t="n"/>
      <c r="G7" s="35" t="n"/>
      <c r="H7" s="36">
        <f>IF(C7="","",C7-SUM(D7:G7))</f>
        <v/>
      </c>
      <c r="I7" s="36">
        <f>IF(C7="","",H7)</f>
        <v/>
      </c>
      <c r="J7" s="37">
        <f>IF(OR(C7="",H7&lt;=0),"",C7/H7)</f>
        <v/>
      </c>
      <c r="K7" s="37">
        <f>IF(J7="","",J7*'KPI Benchmarks'!$D$13)</f>
        <v/>
      </c>
      <c r="L7" s="35" t="n"/>
      <c r="M7" s="34" t="n"/>
      <c r="N7" s="38" t="n"/>
      <c r="O7" s="34" t="n"/>
      <c r="P7" s="39">
        <f>IF(O7="","",O7*0.85)</f>
        <v/>
      </c>
      <c r="Q7" s="39">
        <f>IF(O7="","",O7*0.15)</f>
        <v/>
      </c>
      <c r="R7" s="27">
        <f>IF(O7="","",IF(O7&lt;50,"1–3 ads",IF(O7&lt;=700,"2–5 proven winners","5+ winners; weekly test batches")))</f>
        <v/>
      </c>
      <c r="S7" s="13" t="n"/>
    </row>
    <row r="8">
      <c r="A8" s="13" t="n"/>
      <c r="B8" s="13" t="n"/>
      <c r="C8" s="34" t="n"/>
      <c r="D8" s="35" t="n"/>
      <c r="E8" s="35" t="n"/>
      <c r="F8" s="35" t="n"/>
      <c r="G8" s="35" t="n"/>
      <c r="H8" s="36">
        <f>IF(C8="","",C8-SUM(D8:G8))</f>
        <v/>
      </c>
      <c r="I8" s="36">
        <f>IF(C8="","",H8)</f>
        <v/>
      </c>
      <c r="J8" s="37">
        <f>IF(OR(C8="",H8&lt;=0),"",C8/H8)</f>
        <v/>
      </c>
      <c r="K8" s="37">
        <f>IF(J8="","",J8*'KPI Benchmarks'!$D$13)</f>
        <v/>
      </c>
      <c r="L8" s="35" t="n"/>
      <c r="M8" s="34" t="n"/>
      <c r="N8" s="38" t="n"/>
      <c r="O8" s="34" t="n"/>
      <c r="P8" s="39">
        <f>IF(O8="","",O8*0.85)</f>
        <v/>
      </c>
      <c r="Q8" s="39">
        <f>IF(O8="","",O8*0.15)</f>
        <v/>
      </c>
      <c r="R8" s="27">
        <f>IF(O8="","",IF(O8&lt;50,"1–3 ads",IF(O8&lt;=700,"2–5 proven winners","5+ winners; weekly test batches")))</f>
        <v/>
      </c>
      <c r="S8" s="13" t="n"/>
    </row>
    <row r="9">
      <c r="A9" s="13" t="n"/>
      <c r="B9" s="13" t="n"/>
      <c r="C9" s="34" t="n"/>
      <c r="D9" s="35" t="n"/>
      <c r="E9" s="35" t="n"/>
      <c r="F9" s="35" t="n"/>
      <c r="G9" s="35" t="n"/>
      <c r="H9" s="36">
        <f>IF(C9="","",C9-SUM(D9:G9))</f>
        <v/>
      </c>
      <c r="I9" s="36">
        <f>IF(C9="","",H9)</f>
        <v/>
      </c>
      <c r="J9" s="37">
        <f>IF(OR(C9="",H9&lt;=0),"",C9/H9)</f>
        <v/>
      </c>
      <c r="K9" s="37">
        <f>IF(J9="","",J9*'KPI Benchmarks'!$D$13)</f>
        <v/>
      </c>
      <c r="L9" s="35" t="n"/>
      <c r="M9" s="34" t="n"/>
      <c r="N9" s="38" t="n"/>
      <c r="O9" s="34" t="n"/>
      <c r="P9" s="39">
        <f>IF(O9="","",O9*0.85)</f>
        <v/>
      </c>
      <c r="Q9" s="39">
        <f>IF(O9="","",O9*0.15)</f>
        <v/>
      </c>
      <c r="R9" s="27">
        <f>IF(O9="","",IF(O9&lt;50,"1–3 ads",IF(O9&lt;=700,"2–5 proven winners","5+ winners; weekly test batches")))</f>
        <v/>
      </c>
      <c r="S9" s="13" t="n"/>
    </row>
    <row r="10">
      <c r="A10" s="13" t="n"/>
      <c r="B10" s="13" t="n"/>
      <c r="C10" s="34" t="n"/>
      <c r="D10" s="35" t="n"/>
      <c r="E10" s="35" t="n"/>
      <c r="F10" s="35" t="n"/>
      <c r="G10" s="35" t="n"/>
      <c r="H10" s="36">
        <f>IF(C10="","",C10-SUM(D10:G10))</f>
        <v/>
      </c>
      <c r="I10" s="36">
        <f>IF(C10="","",H10)</f>
        <v/>
      </c>
      <c r="J10" s="37">
        <f>IF(OR(C10="",H10&lt;=0),"",C10/H10)</f>
        <v/>
      </c>
      <c r="K10" s="37">
        <f>IF(J10="","",J10*'KPI Benchmarks'!$D$13)</f>
        <v/>
      </c>
      <c r="L10" s="35" t="n"/>
      <c r="M10" s="34" t="n"/>
      <c r="N10" s="38" t="n"/>
      <c r="O10" s="34" t="n"/>
      <c r="P10" s="39">
        <f>IF(O10="","",O10*0.85)</f>
        <v/>
      </c>
      <c r="Q10" s="39">
        <f>IF(O10="","",O10*0.15)</f>
        <v/>
      </c>
      <c r="R10" s="27">
        <f>IF(O10="","",IF(O10&lt;50,"1–3 ads",IF(O10&lt;=700,"2–5 proven winners","5+ winners; weekly test batches")))</f>
        <v/>
      </c>
      <c r="S10" s="13" t="n"/>
    </row>
    <row r="11">
      <c r="A11" s="13" t="n"/>
      <c r="B11" s="13" t="n"/>
      <c r="C11" s="34" t="n"/>
      <c r="D11" s="35" t="n"/>
      <c r="E11" s="35" t="n"/>
      <c r="F11" s="35" t="n"/>
      <c r="G11" s="35" t="n"/>
      <c r="H11" s="36">
        <f>IF(C11="","",C11-SUM(D11:G11))</f>
        <v/>
      </c>
      <c r="I11" s="36">
        <f>IF(C11="","",H11)</f>
        <v/>
      </c>
      <c r="J11" s="37">
        <f>IF(OR(C11="",H11&lt;=0),"",C11/H11)</f>
        <v/>
      </c>
      <c r="K11" s="37">
        <f>IF(J11="","",J11*'KPI Benchmarks'!$D$13)</f>
        <v/>
      </c>
      <c r="L11" s="35" t="n"/>
      <c r="M11" s="34" t="n"/>
      <c r="N11" s="38" t="n"/>
      <c r="O11" s="34" t="n"/>
      <c r="P11" s="39">
        <f>IF(O11="","",O11*0.85)</f>
        <v/>
      </c>
      <c r="Q11" s="39">
        <f>IF(O11="","",O11*0.15)</f>
        <v/>
      </c>
      <c r="R11" s="27">
        <f>IF(O11="","",IF(O11&lt;50,"1–3 ads",IF(O11&lt;=700,"2–5 proven winners","5+ winners; weekly test batches")))</f>
        <v/>
      </c>
      <c r="S11" s="13" t="n"/>
    </row>
    <row r="12">
      <c r="A12" s="13" t="n"/>
      <c r="B12" s="13" t="n"/>
      <c r="C12" s="34" t="n"/>
      <c r="D12" s="35" t="n"/>
      <c r="E12" s="35" t="n"/>
      <c r="F12" s="35" t="n"/>
      <c r="G12" s="35" t="n"/>
      <c r="H12" s="36">
        <f>IF(C12="","",C12-SUM(D12:G12))</f>
        <v/>
      </c>
      <c r="I12" s="36">
        <f>IF(C12="","",H12)</f>
        <v/>
      </c>
      <c r="J12" s="37">
        <f>IF(OR(C12="",H12&lt;=0),"",C12/H12)</f>
        <v/>
      </c>
      <c r="K12" s="37">
        <f>IF(J12="","",J12*'KPI Benchmarks'!$D$13)</f>
        <v/>
      </c>
      <c r="L12" s="35" t="n"/>
      <c r="M12" s="34" t="n"/>
      <c r="N12" s="38" t="n"/>
      <c r="O12" s="34" t="n"/>
      <c r="P12" s="39">
        <f>IF(O12="","",O12*0.85)</f>
        <v/>
      </c>
      <c r="Q12" s="39">
        <f>IF(O12="","",O12*0.15)</f>
        <v/>
      </c>
      <c r="R12" s="27">
        <f>IF(O12="","",IF(O12&lt;50,"1–3 ads",IF(O12&lt;=700,"2–5 proven winners","5+ winners; weekly test batches")))</f>
        <v/>
      </c>
      <c r="S12" s="13" t="n"/>
    </row>
    <row r="13">
      <c r="A13" s="13" t="n"/>
      <c r="B13" s="13" t="n"/>
      <c r="C13" s="34" t="n"/>
      <c r="D13" s="35" t="n"/>
      <c r="E13" s="35" t="n"/>
      <c r="F13" s="35" t="n"/>
      <c r="G13" s="35" t="n"/>
      <c r="H13" s="36">
        <f>IF(C13="","",C13-SUM(D13:G13))</f>
        <v/>
      </c>
      <c r="I13" s="36">
        <f>IF(C13="","",H13)</f>
        <v/>
      </c>
      <c r="J13" s="37">
        <f>IF(OR(C13="",H13&lt;=0),"",C13/H13)</f>
        <v/>
      </c>
      <c r="K13" s="37">
        <f>IF(J13="","",J13*'KPI Benchmarks'!$D$13)</f>
        <v/>
      </c>
      <c r="L13" s="35" t="n"/>
      <c r="M13" s="34" t="n"/>
      <c r="N13" s="38" t="n"/>
      <c r="O13" s="34" t="n"/>
      <c r="P13" s="39">
        <f>IF(O13="","",O13*0.85)</f>
        <v/>
      </c>
      <c r="Q13" s="39">
        <f>IF(O13="","",O13*0.15)</f>
        <v/>
      </c>
      <c r="R13" s="27">
        <f>IF(O13="","",IF(O13&lt;50,"1–3 ads",IF(O13&lt;=700,"2–5 proven winners","5+ winners; weekly test batches")))</f>
        <v/>
      </c>
      <c r="S13" s="13" t="n"/>
    </row>
    <row r="14">
      <c r="A14" s="13" t="n"/>
      <c r="B14" s="13" t="n"/>
      <c r="C14" s="34" t="n"/>
      <c r="D14" s="35" t="n"/>
      <c r="E14" s="35" t="n"/>
      <c r="F14" s="35" t="n"/>
      <c r="G14" s="35" t="n"/>
      <c r="H14" s="36">
        <f>IF(C14="","",C14-SUM(D14:G14))</f>
        <v/>
      </c>
      <c r="I14" s="36">
        <f>IF(C14="","",H14)</f>
        <v/>
      </c>
      <c r="J14" s="37">
        <f>IF(OR(C14="",H14&lt;=0),"",C14/H14)</f>
        <v/>
      </c>
      <c r="K14" s="37">
        <f>IF(J14="","",J14*'KPI Benchmarks'!$D$13)</f>
        <v/>
      </c>
      <c r="L14" s="35" t="n"/>
      <c r="M14" s="34" t="n"/>
      <c r="N14" s="38" t="n"/>
      <c r="O14" s="34" t="n"/>
      <c r="P14" s="39">
        <f>IF(O14="","",O14*0.85)</f>
        <v/>
      </c>
      <c r="Q14" s="39">
        <f>IF(O14="","",O14*0.15)</f>
        <v/>
      </c>
      <c r="R14" s="27">
        <f>IF(O14="","",IF(O14&lt;50,"1–3 ads",IF(O14&lt;=700,"2–5 proven winners","5+ winners; weekly test batches")))</f>
        <v/>
      </c>
      <c r="S14" s="13" t="n"/>
    </row>
    <row r="15">
      <c r="A15" s="13" t="n"/>
      <c r="B15" s="13" t="n"/>
      <c r="C15" s="34" t="n"/>
      <c r="D15" s="35" t="n"/>
      <c r="E15" s="35" t="n"/>
      <c r="F15" s="35" t="n"/>
      <c r="G15" s="35" t="n"/>
      <c r="H15" s="36">
        <f>IF(C15="","",C15-SUM(D15:G15))</f>
        <v/>
      </c>
      <c r="I15" s="36">
        <f>IF(C15="","",H15)</f>
        <v/>
      </c>
      <c r="J15" s="37">
        <f>IF(OR(C15="",H15&lt;=0),"",C15/H15)</f>
        <v/>
      </c>
      <c r="K15" s="37">
        <f>IF(J15="","",J15*'KPI Benchmarks'!$D$13)</f>
        <v/>
      </c>
      <c r="L15" s="35" t="n"/>
      <c r="M15" s="34" t="n"/>
      <c r="N15" s="38" t="n"/>
      <c r="O15" s="34" t="n"/>
      <c r="P15" s="39">
        <f>IF(O15="","",O15*0.85)</f>
        <v/>
      </c>
      <c r="Q15" s="39">
        <f>IF(O15="","",O15*0.15)</f>
        <v/>
      </c>
      <c r="R15" s="27">
        <f>IF(O15="","",IF(O15&lt;50,"1–3 ads",IF(O15&lt;=700,"2–5 proven winners","5+ winners; weekly test batches")))</f>
        <v/>
      </c>
      <c r="S15" s="13" t="n"/>
    </row>
    <row r="16">
      <c r="A16" s="13" t="n"/>
      <c r="B16" s="13" t="n"/>
      <c r="C16" s="34" t="n"/>
      <c r="D16" s="35" t="n"/>
      <c r="E16" s="35" t="n"/>
      <c r="F16" s="35" t="n"/>
      <c r="G16" s="35" t="n"/>
      <c r="H16" s="36">
        <f>IF(C16="","",C16-SUM(D16:G16))</f>
        <v/>
      </c>
      <c r="I16" s="36">
        <f>IF(C16="","",H16)</f>
        <v/>
      </c>
      <c r="J16" s="37">
        <f>IF(OR(C16="",H16&lt;=0),"",C16/H16)</f>
        <v/>
      </c>
      <c r="K16" s="37">
        <f>IF(J16="","",J16*'KPI Benchmarks'!$D$13)</f>
        <v/>
      </c>
      <c r="L16" s="35" t="n"/>
      <c r="M16" s="34" t="n"/>
      <c r="N16" s="38" t="n"/>
      <c r="O16" s="34" t="n"/>
      <c r="P16" s="39">
        <f>IF(O16="","",O16*0.85)</f>
        <v/>
      </c>
      <c r="Q16" s="39">
        <f>IF(O16="","",O16*0.15)</f>
        <v/>
      </c>
      <c r="R16" s="27">
        <f>IF(O16="","",IF(O16&lt;50,"1–3 ads",IF(O16&lt;=700,"2–5 proven winners","5+ winners; weekly test batches")))</f>
        <v/>
      </c>
      <c r="S16" s="13" t="n"/>
    </row>
    <row r="17">
      <c r="A17" s="13" t="n"/>
      <c r="B17" s="13" t="n"/>
      <c r="C17" s="34" t="n"/>
      <c r="D17" s="35" t="n"/>
      <c r="E17" s="35" t="n"/>
      <c r="F17" s="35" t="n"/>
      <c r="G17" s="35" t="n"/>
      <c r="H17" s="36">
        <f>IF(C17="","",C17-SUM(D17:G17))</f>
        <v/>
      </c>
      <c r="I17" s="36">
        <f>IF(C17="","",H17)</f>
        <v/>
      </c>
      <c r="J17" s="37">
        <f>IF(OR(C17="",H17&lt;=0),"",C17/H17)</f>
        <v/>
      </c>
      <c r="K17" s="37">
        <f>IF(J17="","",J17*'KPI Benchmarks'!$D$13)</f>
        <v/>
      </c>
      <c r="L17" s="35" t="n"/>
      <c r="M17" s="34" t="n"/>
      <c r="N17" s="38" t="n"/>
      <c r="O17" s="34" t="n"/>
      <c r="P17" s="39">
        <f>IF(O17="","",O17*0.85)</f>
        <v/>
      </c>
      <c r="Q17" s="39">
        <f>IF(O17="","",O17*0.15)</f>
        <v/>
      </c>
      <c r="R17" s="27">
        <f>IF(O17="","",IF(O17&lt;50,"1–3 ads",IF(O17&lt;=700,"2–5 proven winners","5+ winners; weekly test batches")))</f>
        <v/>
      </c>
      <c r="S17" s="13" t="n"/>
    </row>
    <row r="18">
      <c r="A18" s="13" t="n"/>
      <c r="B18" s="13" t="n"/>
      <c r="C18" s="34" t="n"/>
      <c r="D18" s="35" t="n"/>
      <c r="E18" s="35" t="n"/>
      <c r="F18" s="35" t="n"/>
      <c r="G18" s="35" t="n"/>
      <c r="H18" s="36">
        <f>IF(C18="","",C18-SUM(D18:G18))</f>
        <v/>
      </c>
      <c r="I18" s="36">
        <f>IF(C18="","",H18)</f>
        <v/>
      </c>
      <c r="J18" s="37">
        <f>IF(OR(C18="",H18&lt;=0),"",C18/H18)</f>
        <v/>
      </c>
      <c r="K18" s="37">
        <f>IF(J18="","",J18*'KPI Benchmarks'!$D$13)</f>
        <v/>
      </c>
      <c r="L18" s="35" t="n"/>
      <c r="M18" s="34" t="n"/>
      <c r="N18" s="38" t="n"/>
      <c r="O18" s="34" t="n"/>
      <c r="P18" s="39">
        <f>IF(O18="","",O18*0.85)</f>
        <v/>
      </c>
      <c r="Q18" s="39">
        <f>IF(O18="","",O18*0.15)</f>
        <v/>
      </c>
      <c r="R18" s="27">
        <f>IF(O18="","",IF(O18&lt;50,"1–3 ads",IF(O18&lt;=700,"2–5 proven winners","5+ winners; weekly test batches")))</f>
        <v/>
      </c>
      <c r="S18" s="13" t="n"/>
    </row>
    <row r="19">
      <c r="A19" s="13" t="n"/>
      <c r="B19" s="13" t="n"/>
      <c r="C19" s="34" t="n"/>
      <c r="D19" s="35" t="n"/>
      <c r="E19" s="35" t="n"/>
      <c r="F19" s="35" t="n"/>
      <c r="G19" s="35" t="n"/>
      <c r="H19" s="36">
        <f>IF(C19="","",C19-SUM(D19:G19))</f>
        <v/>
      </c>
      <c r="I19" s="36">
        <f>IF(C19="","",H19)</f>
        <v/>
      </c>
      <c r="J19" s="37">
        <f>IF(OR(C19="",H19&lt;=0),"",C19/H19)</f>
        <v/>
      </c>
      <c r="K19" s="37">
        <f>IF(J19="","",J19*'KPI Benchmarks'!$D$13)</f>
        <v/>
      </c>
      <c r="L19" s="35" t="n"/>
      <c r="M19" s="34" t="n"/>
      <c r="N19" s="38" t="n"/>
      <c r="O19" s="34" t="n"/>
      <c r="P19" s="39">
        <f>IF(O19="","",O19*0.85)</f>
        <v/>
      </c>
      <c r="Q19" s="39">
        <f>IF(O19="","",O19*0.15)</f>
        <v/>
      </c>
      <c r="R19" s="27">
        <f>IF(O19="","",IF(O19&lt;50,"1–3 ads",IF(O19&lt;=700,"2–5 proven winners","5+ winners; weekly test batches")))</f>
        <v/>
      </c>
      <c r="S19" s="13" t="n"/>
    </row>
    <row r="20">
      <c r="A20" s="13" t="n"/>
      <c r="B20" s="13" t="n"/>
      <c r="C20" s="34" t="n"/>
      <c r="D20" s="35" t="n"/>
      <c r="E20" s="35" t="n"/>
      <c r="F20" s="35" t="n"/>
      <c r="G20" s="35" t="n"/>
      <c r="H20" s="36">
        <f>IF(C20="","",C20-SUM(D20:G20))</f>
        <v/>
      </c>
      <c r="I20" s="36">
        <f>IF(C20="","",H20)</f>
        <v/>
      </c>
      <c r="J20" s="37">
        <f>IF(OR(C20="",H20&lt;=0),"",C20/H20)</f>
        <v/>
      </c>
      <c r="K20" s="37">
        <f>IF(J20="","",J20*'KPI Benchmarks'!$D$13)</f>
        <v/>
      </c>
      <c r="L20" s="35" t="n"/>
      <c r="M20" s="34" t="n"/>
      <c r="N20" s="38" t="n"/>
      <c r="O20" s="34" t="n"/>
      <c r="P20" s="39">
        <f>IF(O20="","",O20*0.85)</f>
        <v/>
      </c>
      <c r="Q20" s="39">
        <f>IF(O20="","",O20*0.15)</f>
        <v/>
      </c>
      <c r="R20" s="27">
        <f>IF(O20="","",IF(O20&lt;50,"1–3 ads",IF(O20&lt;=700,"2–5 proven winners","5+ winners; weekly test batches")))</f>
        <v/>
      </c>
      <c r="S20" s="13" t="n"/>
    </row>
    <row r="21">
      <c r="A21" s="13" t="n"/>
      <c r="B21" s="13" t="n"/>
      <c r="C21" s="34" t="n"/>
      <c r="D21" s="35" t="n"/>
      <c r="E21" s="35" t="n"/>
      <c r="F21" s="35" t="n"/>
      <c r="G21" s="35" t="n"/>
      <c r="H21" s="36">
        <f>IF(C21="","",C21-SUM(D21:G21))</f>
        <v/>
      </c>
      <c r="I21" s="36">
        <f>IF(C21="","",H21)</f>
        <v/>
      </c>
      <c r="J21" s="37">
        <f>IF(OR(C21="",H21&lt;=0),"",C21/H21)</f>
        <v/>
      </c>
      <c r="K21" s="37">
        <f>IF(J21="","",J21*'KPI Benchmarks'!$D$13)</f>
        <v/>
      </c>
      <c r="L21" s="35" t="n"/>
      <c r="M21" s="34" t="n"/>
      <c r="N21" s="38" t="n"/>
      <c r="O21" s="34" t="n"/>
      <c r="P21" s="39">
        <f>IF(O21="","",O21*0.85)</f>
        <v/>
      </c>
      <c r="Q21" s="39">
        <f>IF(O21="","",O21*0.15)</f>
        <v/>
      </c>
      <c r="R21" s="27">
        <f>IF(O21="","",IF(O21&lt;50,"1–3 ads",IF(O21&lt;=700,"2–5 proven winners","5+ winners; weekly test batches")))</f>
        <v/>
      </c>
      <c r="S21" s="13" t="n"/>
    </row>
    <row r="22">
      <c r="A22" s="13" t="n"/>
      <c r="B22" s="13" t="n"/>
      <c r="C22" s="34" t="n"/>
      <c r="D22" s="35" t="n"/>
      <c r="E22" s="35" t="n"/>
      <c r="F22" s="35" t="n"/>
      <c r="G22" s="35" t="n"/>
      <c r="H22" s="36">
        <f>IF(C22="","",C22-SUM(D22:G22))</f>
        <v/>
      </c>
      <c r="I22" s="36">
        <f>IF(C22="","",H22)</f>
        <v/>
      </c>
      <c r="J22" s="37">
        <f>IF(OR(C22="",H22&lt;=0),"",C22/H22)</f>
        <v/>
      </c>
      <c r="K22" s="37">
        <f>IF(J22="","",J22*'KPI Benchmarks'!$D$13)</f>
        <v/>
      </c>
      <c r="L22" s="35" t="n"/>
      <c r="M22" s="34" t="n"/>
      <c r="N22" s="38" t="n"/>
      <c r="O22" s="34" t="n"/>
      <c r="P22" s="39">
        <f>IF(O22="","",O22*0.85)</f>
        <v/>
      </c>
      <c r="Q22" s="39">
        <f>IF(O22="","",O22*0.15)</f>
        <v/>
      </c>
      <c r="R22" s="27">
        <f>IF(O22="","",IF(O22&lt;50,"1–3 ads",IF(O22&lt;=700,"2–5 proven winners","5+ winners; weekly test batches")))</f>
        <v/>
      </c>
      <c r="S22" s="13" t="n"/>
    </row>
    <row r="23">
      <c r="A23" s="13" t="n"/>
      <c r="B23" s="13" t="n"/>
      <c r="C23" s="34" t="n"/>
      <c r="D23" s="35" t="n"/>
      <c r="E23" s="35" t="n"/>
      <c r="F23" s="35" t="n"/>
      <c r="G23" s="35" t="n"/>
      <c r="H23" s="36">
        <f>IF(C23="","",C23-SUM(D23:G23))</f>
        <v/>
      </c>
      <c r="I23" s="36">
        <f>IF(C23="","",H23)</f>
        <v/>
      </c>
      <c r="J23" s="37">
        <f>IF(OR(C23="",H23&lt;=0),"",C23/H23)</f>
        <v/>
      </c>
      <c r="K23" s="37">
        <f>IF(J23="","",J23*'KPI Benchmarks'!$D$13)</f>
        <v/>
      </c>
      <c r="L23" s="35" t="n"/>
      <c r="M23" s="34" t="n"/>
      <c r="N23" s="38" t="n"/>
      <c r="O23" s="34" t="n"/>
      <c r="P23" s="39">
        <f>IF(O23="","",O23*0.85)</f>
        <v/>
      </c>
      <c r="Q23" s="39">
        <f>IF(O23="","",O23*0.15)</f>
        <v/>
      </c>
      <c r="R23" s="27">
        <f>IF(O23="","",IF(O23&lt;50,"1–3 ads",IF(O23&lt;=700,"2–5 proven winners","5+ winners; weekly test batches")))</f>
        <v/>
      </c>
      <c r="S23" s="13" t="n"/>
    </row>
    <row r="24">
      <c r="A24" s="13" t="n"/>
      <c r="B24" s="13" t="n"/>
      <c r="C24" s="34" t="n"/>
      <c r="D24" s="35" t="n"/>
      <c r="E24" s="35" t="n"/>
      <c r="F24" s="35" t="n"/>
      <c r="G24" s="35" t="n"/>
      <c r="H24" s="36">
        <f>IF(C24="","",C24-SUM(D24:G24))</f>
        <v/>
      </c>
      <c r="I24" s="36">
        <f>IF(C24="","",H24)</f>
        <v/>
      </c>
      <c r="J24" s="37">
        <f>IF(OR(C24="",H24&lt;=0),"",C24/H24)</f>
        <v/>
      </c>
      <c r="K24" s="37">
        <f>IF(J24="","",J24*'KPI Benchmarks'!$D$13)</f>
        <v/>
      </c>
      <c r="L24" s="35" t="n"/>
      <c r="M24" s="34" t="n"/>
      <c r="N24" s="38" t="n"/>
      <c r="O24" s="34" t="n"/>
      <c r="P24" s="39">
        <f>IF(O24="","",O24*0.85)</f>
        <v/>
      </c>
      <c r="Q24" s="39">
        <f>IF(O24="","",O24*0.15)</f>
        <v/>
      </c>
      <c r="R24" s="27">
        <f>IF(O24="","",IF(O24&lt;50,"1–3 ads",IF(O24&lt;=700,"2–5 proven winners","5+ winners; weekly test batches")))</f>
        <v/>
      </c>
      <c r="S24" s="13" t="n"/>
    </row>
    <row r="25">
      <c r="A25" s="13" t="n"/>
      <c r="B25" s="13" t="n"/>
      <c r="C25" s="34" t="n"/>
      <c r="D25" s="35" t="n"/>
      <c r="E25" s="35" t="n"/>
      <c r="F25" s="35" t="n"/>
      <c r="G25" s="35" t="n"/>
      <c r="H25" s="36">
        <f>IF(C25="","",C25-SUM(D25:G25))</f>
        <v/>
      </c>
      <c r="I25" s="36">
        <f>IF(C25="","",H25)</f>
        <v/>
      </c>
      <c r="J25" s="37">
        <f>IF(OR(C25="",H25&lt;=0),"",C25/H25)</f>
        <v/>
      </c>
      <c r="K25" s="37">
        <f>IF(J25="","",J25*'KPI Benchmarks'!$D$13)</f>
        <v/>
      </c>
      <c r="L25" s="35" t="n"/>
      <c r="M25" s="34" t="n"/>
      <c r="N25" s="38" t="n"/>
      <c r="O25" s="34" t="n"/>
      <c r="P25" s="39">
        <f>IF(O25="","",O25*0.85)</f>
        <v/>
      </c>
      <c r="Q25" s="39">
        <f>IF(O25="","",O25*0.15)</f>
        <v/>
      </c>
      <c r="R25" s="27">
        <f>IF(O25="","",IF(O25&lt;50,"1–3 ads",IF(O25&lt;=700,"2–5 proven winners","5+ winners; weekly test batches")))</f>
        <v/>
      </c>
      <c r="S25" s="13" t="n"/>
    </row>
    <row r="26">
      <c r="A26" s="13" t="n"/>
      <c r="B26" s="13" t="n"/>
      <c r="C26" s="34" t="n"/>
      <c r="D26" s="35" t="n"/>
      <c r="E26" s="35" t="n"/>
      <c r="F26" s="35" t="n"/>
      <c r="G26" s="35" t="n"/>
      <c r="H26" s="36">
        <f>IF(C26="","",C26-SUM(D26:G26))</f>
        <v/>
      </c>
      <c r="I26" s="36">
        <f>IF(C26="","",H26)</f>
        <v/>
      </c>
      <c r="J26" s="37">
        <f>IF(OR(C26="",H26&lt;=0),"",C26/H26)</f>
        <v/>
      </c>
      <c r="K26" s="37">
        <f>IF(J26="","",J26*'KPI Benchmarks'!$D$13)</f>
        <v/>
      </c>
      <c r="L26" s="35" t="n"/>
      <c r="M26" s="34" t="n"/>
      <c r="N26" s="38" t="n"/>
      <c r="O26" s="34" t="n"/>
      <c r="P26" s="39">
        <f>IF(O26="","",O26*0.85)</f>
        <v/>
      </c>
      <c r="Q26" s="39">
        <f>IF(O26="","",O26*0.15)</f>
        <v/>
      </c>
      <c r="R26" s="27">
        <f>IF(O26="","",IF(O26&lt;50,"1–3 ads",IF(O26&lt;=700,"2–5 proven winners","5+ winners; weekly test batches")))</f>
        <v/>
      </c>
      <c r="S26" s="13" t="n"/>
    </row>
    <row r="27">
      <c r="A27" s="13" t="n"/>
      <c r="B27" s="13" t="n"/>
      <c r="C27" s="34" t="n"/>
      <c r="D27" s="35" t="n"/>
      <c r="E27" s="35" t="n"/>
      <c r="F27" s="35" t="n"/>
      <c r="G27" s="35" t="n"/>
      <c r="H27" s="36">
        <f>IF(C27="","",C27-SUM(D27:G27))</f>
        <v/>
      </c>
      <c r="I27" s="36">
        <f>IF(C27="","",H27)</f>
        <v/>
      </c>
      <c r="J27" s="37">
        <f>IF(OR(C27="",H27&lt;=0),"",C27/H27)</f>
        <v/>
      </c>
      <c r="K27" s="37">
        <f>IF(J27="","",J27*'KPI Benchmarks'!$D$13)</f>
        <v/>
      </c>
      <c r="L27" s="35" t="n"/>
      <c r="M27" s="34" t="n"/>
      <c r="N27" s="38" t="n"/>
      <c r="O27" s="34" t="n"/>
      <c r="P27" s="39">
        <f>IF(O27="","",O27*0.85)</f>
        <v/>
      </c>
      <c r="Q27" s="39">
        <f>IF(O27="","",O27*0.15)</f>
        <v/>
      </c>
      <c r="R27" s="27">
        <f>IF(O27="","",IF(O27&lt;50,"1–3 ads",IF(O27&lt;=700,"2–5 proven winners","5+ winners; weekly test batches")))</f>
        <v/>
      </c>
      <c r="S27" s="13" t="n"/>
    </row>
    <row r="28">
      <c r="A28" s="13" t="n"/>
      <c r="B28" s="13" t="n"/>
      <c r="C28" s="34" t="n"/>
      <c r="D28" s="35" t="n"/>
      <c r="E28" s="35" t="n"/>
      <c r="F28" s="35" t="n"/>
      <c r="G28" s="35" t="n"/>
      <c r="H28" s="36">
        <f>IF(C28="","",C28-SUM(D28:G28))</f>
        <v/>
      </c>
      <c r="I28" s="36">
        <f>IF(C28="","",H28)</f>
        <v/>
      </c>
      <c r="J28" s="37">
        <f>IF(OR(C28="",H28&lt;=0),"",C28/H28)</f>
        <v/>
      </c>
      <c r="K28" s="37">
        <f>IF(J28="","",J28*'KPI Benchmarks'!$D$13)</f>
        <v/>
      </c>
      <c r="L28" s="35" t="n"/>
      <c r="M28" s="34" t="n"/>
      <c r="N28" s="38" t="n"/>
      <c r="O28" s="34" t="n"/>
      <c r="P28" s="39">
        <f>IF(O28="","",O28*0.85)</f>
        <v/>
      </c>
      <c r="Q28" s="39">
        <f>IF(O28="","",O28*0.15)</f>
        <v/>
      </c>
      <c r="R28" s="27">
        <f>IF(O28="","",IF(O28&lt;50,"1–3 ads",IF(O28&lt;=700,"2–5 proven winners","5+ winners; weekly test batches")))</f>
        <v/>
      </c>
      <c r="S28" s="13" t="n"/>
    </row>
    <row r="29">
      <c r="A29" s="13" t="n"/>
      <c r="B29" s="13" t="n"/>
      <c r="C29" s="34" t="n"/>
      <c r="D29" s="35" t="n"/>
      <c r="E29" s="35" t="n"/>
      <c r="F29" s="35" t="n"/>
      <c r="G29" s="35" t="n"/>
      <c r="H29" s="36">
        <f>IF(C29="","",C29-SUM(D29:G29))</f>
        <v/>
      </c>
      <c r="I29" s="36">
        <f>IF(C29="","",H29)</f>
        <v/>
      </c>
      <c r="J29" s="37">
        <f>IF(OR(C29="",H29&lt;=0),"",C29/H29)</f>
        <v/>
      </c>
      <c r="K29" s="37">
        <f>IF(J29="","",J29*'KPI Benchmarks'!$D$13)</f>
        <v/>
      </c>
      <c r="L29" s="35" t="n"/>
      <c r="M29" s="34" t="n"/>
      <c r="N29" s="38" t="n"/>
      <c r="O29" s="34" t="n"/>
      <c r="P29" s="39">
        <f>IF(O29="","",O29*0.85)</f>
        <v/>
      </c>
      <c r="Q29" s="39">
        <f>IF(O29="","",O29*0.15)</f>
        <v/>
      </c>
      <c r="R29" s="27">
        <f>IF(O29="","",IF(O29&lt;50,"1–3 ads",IF(O29&lt;=700,"2–5 proven winners","5+ winners; weekly test batches")))</f>
        <v/>
      </c>
      <c r="S29" s="13" t="n"/>
    </row>
    <row r="30">
      <c r="A30" s="13" t="n"/>
      <c r="B30" s="13" t="n"/>
      <c r="C30" s="34" t="n"/>
      <c r="D30" s="35" t="n"/>
      <c r="E30" s="35" t="n"/>
      <c r="F30" s="35" t="n"/>
      <c r="G30" s="35" t="n"/>
      <c r="H30" s="36">
        <f>IF(C30="","",C30-SUM(D30:G30))</f>
        <v/>
      </c>
      <c r="I30" s="36">
        <f>IF(C30="","",H30)</f>
        <v/>
      </c>
      <c r="J30" s="37">
        <f>IF(OR(C30="",H30&lt;=0),"",C30/H30)</f>
        <v/>
      </c>
      <c r="K30" s="37">
        <f>IF(J30="","",J30*'KPI Benchmarks'!$D$13)</f>
        <v/>
      </c>
      <c r="L30" s="35" t="n"/>
      <c r="M30" s="34" t="n"/>
      <c r="N30" s="38" t="n"/>
      <c r="O30" s="34" t="n"/>
      <c r="P30" s="39">
        <f>IF(O30="","",O30*0.85)</f>
        <v/>
      </c>
      <c r="Q30" s="39">
        <f>IF(O30="","",O30*0.15)</f>
        <v/>
      </c>
      <c r="R30" s="27">
        <f>IF(O30="","",IF(O30&lt;50,"1–3 ads",IF(O30&lt;=700,"2–5 proven winners","5+ winners; weekly test batches")))</f>
        <v/>
      </c>
      <c r="S30" s="13" t="n"/>
    </row>
    <row r="31">
      <c r="A31" s="13" t="n"/>
      <c r="B31" s="13" t="n"/>
      <c r="C31" s="34" t="n"/>
      <c r="D31" s="35" t="n"/>
      <c r="E31" s="35" t="n"/>
      <c r="F31" s="35" t="n"/>
      <c r="G31" s="35" t="n"/>
      <c r="H31" s="36">
        <f>IF(C31="","",C31-SUM(D31:G31))</f>
        <v/>
      </c>
      <c r="I31" s="36">
        <f>IF(C31="","",H31)</f>
        <v/>
      </c>
      <c r="J31" s="37">
        <f>IF(OR(C31="",H31&lt;=0),"",C31/H31)</f>
        <v/>
      </c>
      <c r="K31" s="37">
        <f>IF(J31="","",J31*'KPI Benchmarks'!$D$13)</f>
        <v/>
      </c>
      <c r="L31" s="35" t="n"/>
      <c r="M31" s="34" t="n"/>
      <c r="N31" s="38" t="n"/>
      <c r="O31" s="34" t="n"/>
      <c r="P31" s="39">
        <f>IF(O31="","",O31*0.85)</f>
        <v/>
      </c>
      <c r="Q31" s="39">
        <f>IF(O31="","",O31*0.15)</f>
        <v/>
      </c>
      <c r="R31" s="27">
        <f>IF(O31="","",IF(O31&lt;50,"1–3 ads",IF(O31&lt;=700,"2–5 proven winners","5+ winners; weekly test batches")))</f>
        <v/>
      </c>
      <c r="S31" s="13" t="n"/>
    </row>
    <row r="32">
      <c r="A32" s="13" t="n"/>
      <c r="B32" s="13" t="n"/>
      <c r="C32" s="34" t="n"/>
      <c r="D32" s="35" t="n"/>
      <c r="E32" s="35" t="n"/>
      <c r="F32" s="35" t="n"/>
      <c r="G32" s="35" t="n"/>
      <c r="H32" s="36">
        <f>IF(C32="","",C32-SUM(D32:G32))</f>
        <v/>
      </c>
      <c r="I32" s="36">
        <f>IF(C32="","",H32)</f>
        <v/>
      </c>
      <c r="J32" s="37">
        <f>IF(OR(C32="",H32&lt;=0),"",C32/H32)</f>
        <v/>
      </c>
      <c r="K32" s="37">
        <f>IF(J32="","",J32*'KPI Benchmarks'!$D$13)</f>
        <v/>
      </c>
      <c r="L32" s="35" t="n"/>
      <c r="M32" s="34" t="n"/>
      <c r="N32" s="38" t="n"/>
      <c r="O32" s="34" t="n"/>
      <c r="P32" s="39">
        <f>IF(O32="","",O32*0.85)</f>
        <v/>
      </c>
      <c r="Q32" s="39">
        <f>IF(O32="","",O32*0.15)</f>
        <v/>
      </c>
      <c r="R32" s="27">
        <f>IF(O32="","",IF(O32&lt;50,"1–3 ads",IF(O32&lt;=700,"2–5 proven winners","5+ winners; weekly test batches")))</f>
        <v/>
      </c>
      <c r="S32" s="13" t="n"/>
    </row>
    <row r="33">
      <c r="A33" s="13" t="n"/>
      <c r="B33" s="13" t="n"/>
      <c r="C33" s="34" t="n"/>
      <c r="D33" s="35" t="n"/>
      <c r="E33" s="35" t="n"/>
      <c r="F33" s="35" t="n"/>
      <c r="G33" s="35" t="n"/>
      <c r="H33" s="36">
        <f>IF(C33="","",C33-SUM(D33:G33))</f>
        <v/>
      </c>
      <c r="I33" s="36">
        <f>IF(C33="","",H33)</f>
        <v/>
      </c>
      <c r="J33" s="37">
        <f>IF(OR(C33="",H33&lt;=0),"",C33/H33)</f>
        <v/>
      </c>
      <c r="K33" s="37">
        <f>IF(J33="","",J33*'KPI Benchmarks'!$D$13)</f>
        <v/>
      </c>
      <c r="L33" s="35" t="n"/>
      <c r="M33" s="34" t="n"/>
      <c r="N33" s="38" t="n"/>
      <c r="O33" s="34" t="n"/>
      <c r="P33" s="39">
        <f>IF(O33="","",O33*0.85)</f>
        <v/>
      </c>
      <c r="Q33" s="39">
        <f>IF(O33="","",O33*0.15)</f>
        <v/>
      </c>
      <c r="R33" s="27">
        <f>IF(O33="","",IF(O33&lt;50,"1–3 ads",IF(O33&lt;=700,"2–5 proven winners","5+ winners; weekly test batches")))</f>
        <v/>
      </c>
      <c r="S33" s="13" t="n"/>
    </row>
    <row r="34">
      <c r="A34" s="13" t="n"/>
      <c r="B34" s="13" t="n"/>
      <c r="C34" s="34" t="n"/>
      <c r="D34" s="35" t="n"/>
      <c r="E34" s="35" t="n"/>
      <c r="F34" s="35" t="n"/>
      <c r="G34" s="35" t="n"/>
      <c r="H34" s="36">
        <f>IF(C34="","",C34-SUM(D34:G34))</f>
        <v/>
      </c>
      <c r="I34" s="36">
        <f>IF(C34="","",H34)</f>
        <v/>
      </c>
      <c r="J34" s="37">
        <f>IF(OR(C34="",H34&lt;=0),"",C34/H34)</f>
        <v/>
      </c>
      <c r="K34" s="37">
        <f>IF(J34="","",J34*'KPI Benchmarks'!$D$13)</f>
        <v/>
      </c>
      <c r="L34" s="35" t="n"/>
      <c r="M34" s="34" t="n"/>
      <c r="N34" s="38" t="n"/>
      <c r="O34" s="34" t="n"/>
      <c r="P34" s="39">
        <f>IF(O34="","",O34*0.85)</f>
        <v/>
      </c>
      <c r="Q34" s="39">
        <f>IF(O34="","",O34*0.15)</f>
        <v/>
      </c>
      <c r="R34" s="27">
        <f>IF(O34="","",IF(O34&lt;50,"1–3 ads",IF(O34&lt;=700,"2–5 proven winners","5+ winners; weekly test batches")))</f>
        <v/>
      </c>
      <c r="S34" s="13" t="n"/>
    </row>
  </sheetData>
  <dataValidations count="1">
    <dataValidation sqref="B5 B6 B7 B8 B9 B10 B11 B12 B13 B14 B15 B16 B17 B18 B19 B20 B21 B22 B23 B24 B25 B26 B27 B28 B29 B30 B31 B32 B33 B34" showDropDown="0" showInputMessage="0" showErrorMessage="0" allowBlank="1" type="list">
      <formula1>"Profit-first,Growth-first,Hybrid"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B203"/>
  <sheetViews>
    <sheetView showGridLines="0" workbookViewId="0">
      <pane ySplit="4" topLeftCell="A5" activePane="bottomLeft" state="frozen"/>
      <selection pane="bottomLeft" activeCell="A1" sqref="A1"/>
    </sheetView>
  </sheetViews>
  <sheetFormatPr baseColWidth="8" defaultRowHeight="15"/>
  <cols>
    <col width="11" customWidth="1" min="1" max="1"/>
    <col width="18" customWidth="1" min="2" max="2"/>
    <col width="10" customWidth="1" min="3" max="3"/>
    <col width="12" customWidth="1" min="4" max="4"/>
    <col width="10" customWidth="1" min="5" max="5"/>
    <col width="10" customWidth="1" min="6" max="6"/>
    <col width="11" customWidth="1" min="7" max="7"/>
    <col width="10" customWidth="1" min="8" max="8"/>
    <col width="11" customWidth="1" min="9" max="9"/>
    <col width="10" customWidth="1" min="10" max="10"/>
    <col width="11" customWidth="1" min="11" max="11"/>
    <col width="9" customWidth="1" min="12" max="12"/>
    <col width="9" customWidth="1" min="13" max="13"/>
    <col width="9" customWidth="1" min="14" max="14"/>
    <col width="10" customWidth="1" min="15" max="15"/>
    <col width="10" customWidth="1" min="16" max="16"/>
    <col width="10" customWidth="1" min="17" max="17"/>
    <col width="10" customWidth="1" min="18" max="18"/>
    <col width="10" customWidth="1" min="19" max="19"/>
    <col width="10" customWidth="1" min="20" max="20"/>
    <col width="8" customWidth="1" min="21" max="21"/>
    <col width="9" customWidth="1" min="22" max="22"/>
    <col width="9" customWidth="1" min="23" max="23"/>
    <col width="10" customWidth="1" min="24" max="24"/>
    <col width="10" customWidth="1" min="25" max="25"/>
    <col width="16" customWidth="1" min="26" max="26"/>
    <col width="40" customWidth="1" min="27" max="27"/>
    <col width="30" customWidth="1" min="28" max="28"/>
  </cols>
  <sheetData>
    <row r="1">
      <c r="A1" s="1" t="inlineStr">
        <is>
          <t>Weekly Tracker</t>
        </is>
      </c>
    </row>
    <row r="2">
      <c r="A2" s="2" t="inlineStr">
        <is>
          <t>One row per client per week (or per campaign). Paste Ads Manager + Shopify numbers into yellow columns; column Z names the first leak to fix.</t>
        </is>
      </c>
    </row>
    <row r="4" ht="32" customHeight="1">
      <c r="A4" s="10" t="inlineStr">
        <is>
          <t>Week start</t>
        </is>
      </c>
      <c r="B4" s="10" t="inlineStr">
        <is>
          <t>Client</t>
        </is>
      </c>
      <c r="C4" s="10" t="inlineStr">
        <is>
          <t>Spend ($)</t>
        </is>
      </c>
      <c r="D4" s="10" t="inlineStr">
        <is>
          <t>Impressions</t>
        </is>
      </c>
      <c r="E4" s="10" t="inlineStr">
        <is>
          <t>Clicks (all)</t>
        </is>
      </c>
      <c r="F4" s="10" t="inlineStr">
        <is>
          <t>Link clicks</t>
        </is>
      </c>
      <c r="G4" s="10" t="inlineStr">
        <is>
          <t>Landing page views</t>
        </is>
      </c>
      <c r="H4" s="10" t="inlineStr">
        <is>
          <t>Adds to cart</t>
        </is>
      </c>
      <c r="I4" s="10" t="inlineStr">
        <is>
          <t>Checkouts initiated</t>
        </is>
      </c>
      <c r="J4" s="10" t="inlineStr">
        <is>
          <t>Purchases</t>
        </is>
      </c>
      <c r="K4" s="10" t="inlineStr">
        <is>
          <t>Revenue ($)</t>
        </is>
      </c>
      <c r="L4" s="10" t="inlineStr">
        <is>
          <t>CPM ($)</t>
        </is>
      </c>
      <c r="M4" s="10" t="inlineStr">
        <is>
          <t>CTR (all)</t>
        </is>
      </c>
      <c r="N4" s="10" t="inlineStr">
        <is>
          <t>Link CTR</t>
        </is>
      </c>
      <c r="O4" s="10" t="inlineStr">
        <is>
          <t>Link CTR ÷ CTR</t>
        </is>
      </c>
      <c r="P4" s="10" t="inlineStr">
        <is>
          <t>Cost per link click ($)</t>
        </is>
      </c>
      <c r="Q4" s="10" t="inlineStr">
        <is>
          <t>LPV ÷ link clicks</t>
        </is>
      </c>
      <c r="R4" s="10" t="inlineStr">
        <is>
          <t>Add-to-cart rate</t>
        </is>
      </c>
      <c r="S4" s="10" t="inlineStr">
        <is>
          <t>Cart → checkout</t>
        </is>
      </c>
      <c r="T4" s="10" t="inlineStr">
        <is>
          <t>Checkout → purchase</t>
        </is>
      </c>
      <c r="U4" s="10" t="inlineStr">
        <is>
          <t>ROAS</t>
        </is>
      </c>
      <c r="V4" s="10" t="inlineStr">
        <is>
          <t>CPA ($)</t>
        </is>
      </c>
      <c r="W4" s="10" t="inlineStr">
        <is>
          <t>AOV ($)</t>
        </is>
      </c>
      <c r="X4" s="10" t="inlineStr">
        <is>
          <t>Break-even ROAS</t>
        </is>
      </c>
      <c r="Y4" s="10" t="inlineStr">
        <is>
          <t>ROAS ÷ break-even</t>
        </is>
      </c>
      <c r="Z4" s="10" t="inlineStr">
        <is>
          <t>FIRST LEAK</t>
        </is>
      </c>
      <c r="AA4" s="10" t="inlineStr">
        <is>
          <t>What to fix</t>
        </is>
      </c>
      <c r="AB4" s="10" t="inlineStr">
        <is>
          <t>Notes / action taken</t>
        </is>
      </c>
    </row>
    <row r="5">
      <c r="A5" s="14" t="n">
        <v>46279</v>
      </c>
      <c r="B5" s="13" t="inlineStr">
        <is>
          <t>Example Outdoor Co</t>
        </is>
      </c>
      <c r="C5" s="34" t="n">
        <v>700</v>
      </c>
      <c r="D5" s="40" t="n">
        <v>25000</v>
      </c>
      <c r="E5" s="40" t="n">
        <v>1000</v>
      </c>
      <c r="F5" s="40" t="n">
        <v>700</v>
      </c>
      <c r="G5" s="40" t="n">
        <v>640</v>
      </c>
      <c r="H5" s="40" t="n">
        <v>45</v>
      </c>
      <c r="I5" s="40" t="n">
        <v>20</v>
      </c>
      <c r="J5" s="40" t="n">
        <v>9</v>
      </c>
      <c r="K5" s="34" t="n">
        <v>1150</v>
      </c>
      <c r="L5" s="36">
        <f>IFERROR(C5/D5*1000,"")</f>
        <v/>
      </c>
      <c r="M5" s="41">
        <f>IFERROR(E5/D5,"")</f>
        <v/>
      </c>
      <c r="N5" s="41">
        <f>IFERROR(F5/D5,"")</f>
        <v/>
      </c>
      <c r="O5" s="42">
        <f>IFERROR(N5/M5,"")</f>
        <v/>
      </c>
      <c r="P5" s="36">
        <f>IFERROR(C5/F5,"")</f>
        <v/>
      </c>
      <c r="Q5" s="42">
        <f>IFERROR(G5/F5,"")</f>
        <v/>
      </c>
      <c r="R5" s="43">
        <f>IFERROR(H5/G5,"")</f>
        <v/>
      </c>
      <c r="S5" s="42">
        <f>IFERROR(I5/H5,"")</f>
        <v/>
      </c>
      <c r="T5" s="42">
        <f>IFERROR(J5/I5,"")</f>
        <v/>
      </c>
      <c r="U5" s="37">
        <f>IFERROR(K5/C5,"")</f>
        <v/>
      </c>
      <c r="V5" s="36">
        <f>IFERROR(C5/J5,"")</f>
        <v/>
      </c>
      <c r="W5" s="36">
        <f>IFERROR(K5/J5,"")</f>
        <v/>
      </c>
      <c r="X5" s="37">
        <f>IFERROR(INDEX('Client Economics'!$J$5:$J$34,MATCH(B5,'Client Economics'!$A$5:$A$34,0)),"")</f>
        <v/>
      </c>
      <c r="Y5" s="37">
        <f>IFERROR(U5/X5,"")</f>
        <v/>
      </c>
      <c r="Z5" s="44">
        <f>IF(D5="","",IF(N(M5)&lt;'KPI Benchmarks'!$D$5,"Attention",IF(N(O5)&lt;'KPI Benchmarks'!$D$6,"Interest",IF(N(Q5)&lt;'KPI Benchmarks'!$D$8,"Page load",IF(N(R5)&lt;'KPI Benchmarks'!$D$9,"Buying intent",IF(N(S5)&lt;'KPI Benchmarks'!$D$10,"Cart",IF(N(T5)&lt;'KPI Benchmarks'!$D$11,"Checkout",IF(X5="","Add economics",IF(N(Y5)&lt;'KPI Benchmarks'!$D$12,"Economics","Healthy – scale")))))))))</f>
        <v/>
      </c>
      <c r="AA5" s="27">
        <f>IF(Z5="","",IF(Z5="Healthy – scale","All stages pass. Add $10–20/day or a new audience; test new creatives beside the main campaign.",IF(Z5="Add economics","Add this client to Client Economics.",IFERROR(INDEX('KPI Benchmarks'!$G$5:$G$12,MATCH(Z5,'KPI Benchmarks'!$A$5:$A$12,0)),""))))</f>
        <v/>
      </c>
      <c r="AB5" s="13" t="inlineStr">
        <is>
          <t>Example: ATC 7% &lt; 10% → rework product page</t>
        </is>
      </c>
    </row>
    <row r="6">
      <c r="A6" s="14" t="n"/>
      <c r="B6" s="13" t="n"/>
      <c r="C6" s="34" t="n"/>
      <c r="D6" s="40" t="n"/>
      <c r="E6" s="40" t="n"/>
      <c r="F6" s="40" t="n"/>
      <c r="G6" s="40" t="n"/>
      <c r="H6" s="40" t="n"/>
      <c r="I6" s="40" t="n"/>
      <c r="J6" s="40" t="n"/>
      <c r="K6" s="34" t="n"/>
      <c r="L6" s="36">
        <f>IFERROR(C6/D6*1000,"")</f>
        <v/>
      </c>
      <c r="M6" s="41">
        <f>IFERROR(E6/D6,"")</f>
        <v/>
      </c>
      <c r="N6" s="41">
        <f>IFERROR(F6/D6,"")</f>
        <v/>
      </c>
      <c r="O6" s="42">
        <f>IFERROR(N6/M6,"")</f>
        <v/>
      </c>
      <c r="P6" s="36">
        <f>IFERROR(C6/F6,"")</f>
        <v/>
      </c>
      <c r="Q6" s="42">
        <f>IFERROR(G6/F6,"")</f>
        <v/>
      </c>
      <c r="R6" s="43">
        <f>IFERROR(H6/G6,"")</f>
        <v/>
      </c>
      <c r="S6" s="42">
        <f>IFERROR(I6/H6,"")</f>
        <v/>
      </c>
      <c r="T6" s="42">
        <f>IFERROR(J6/I6,"")</f>
        <v/>
      </c>
      <c r="U6" s="37">
        <f>IFERROR(K6/C6,"")</f>
        <v/>
      </c>
      <c r="V6" s="36">
        <f>IFERROR(C6/J6,"")</f>
        <v/>
      </c>
      <c r="W6" s="36">
        <f>IFERROR(K6/J6,"")</f>
        <v/>
      </c>
      <c r="X6" s="37">
        <f>IFERROR(INDEX('Client Economics'!$J$5:$J$34,MATCH(B6,'Client Economics'!$A$5:$A$34,0)),"")</f>
        <v/>
      </c>
      <c r="Y6" s="37">
        <f>IFERROR(U6/X6,"")</f>
        <v/>
      </c>
      <c r="Z6" s="44">
        <f>IF(D6="","",IF(N(M6)&lt;'KPI Benchmarks'!$D$5,"Attention",IF(N(O6)&lt;'KPI Benchmarks'!$D$6,"Interest",IF(N(Q6)&lt;'KPI Benchmarks'!$D$8,"Page load",IF(N(R6)&lt;'KPI Benchmarks'!$D$9,"Buying intent",IF(N(S6)&lt;'KPI Benchmarks'!$D$10,"Cart",IF(N(T6)&lt;'KPI Benchmarks'!$D$11,"Checkout",IF(X6="","Add economics",IF(N(Y6)&lt;'KPI Benchmarks'!$D$12,"Economics","Healthy – scale")))))))))</f>
        <v/>
      </c>
      <c r="AA6" s="27">
        <f>IF(Z6="","",IF(Z6="Healthy – scale","All stages pass. Add $10–20/day or a new audience; test new creatives beside the main campaign.",IF(Z6="Add economics","Add this client to Client Economics.",IFERROR(INDEX('KPI Benchmarks'!$G$5:$G$12,MATCH(Z6,'KPI Benchmarks'!$A$5:$A$12,0)),""))))</f>
        <v/>
      </c>
      <c r="AB6" s="13" t="n"/>
    </row>
    <row r="7">
      <c r="A7" s="14" t="n"/>
      <c r="B7" s="13" t="n"/>
      <c r="C7" s="34" t="n"/>
      <c r="D7" s="40" t="n"/>
      <c r="E7" s="40" t="n"/>
      <c r="F7" s="40" t="n"/>
      <c r="G7" s="40" t="n"/>
      <c r="H7" s="40" t="n"/>
      <c r="I7" s="40" t="n"/>
      <c r="J7" s="40" t="n"/>
      <c r="K7" s="34" t="n"/>
      <c r="L7" s="36">
        <f>IFERROR(C7/D7*1000,"")</f>
        <v/>
      </c>
      <c r="M7" s="41">
        <f>IFERROR(E7/D7,"")</f>
        <v/>
      </c>
      <c r="N7" s="41">
        <f>IFERROR(F7/D7,"")</f>
        <v/>
      </c>
      <c r="O7" s="42">
        <f>IFERROR(N7/M7,"")</f>
        <v/>
      </c>
      <c r="P7" s="36">
        <f>IFERROR(C7/F7,"")</f>
        <v/>
      </c>
      <c r="Q7" s="42">
        <f>IFERROR(G7/F7,"")</f>
        <v/>
      </c>
      <c r="R7" s="43">
        <f>IFERROR(H7/G7,"")</f>
        <v/>
      </c>
      <c r="S7" s="42">
        <f>IFERROR(I7/H7,"")</f>
        <v/>
      </c>
      <c r="T7" s="42">
        <f>IFERROR(J7/I7,"")</f>
        <v/>
      </c>
      <c r="U7" s="37">
        <f>IFERROR(K7/C7,"")</f>
        <v/>
      </c>
      <c r="V7" s="36">
        <f>IFERROR(C7/J7,"")</f>
        <v/>
      </c>
      <c r="W7" s="36">
        <f>IFERROR(K7/J7,"")</f>
        <v/>
      </c>
      <c r="X7" s="37">
        <f>IFERROR(INDEX('Client Economics'!$J$5:$J$34,MATCH(B7,'Client Economics'!$A$5:$A$34,0)),"")</f>
        <v/>
      </c>
      <c r="Y7" s="37">
        <f>IFERROR(U7/X7,"")</f>
        <v/>
      </c>
      <c r="Z7" s="44">
        <f>IF(D7="","",IF(N(M7)&lt;'KPI Benchmarks'!$D$5,"Attention",IF(N(O7)&lt;'KPI Benchmarks'!$D$6,"Interest",IF(N(Q7)&lt;'KPI Benchmarks'!$D$8,"Page load",IF(N(R7)&lt;'KPI Benchmarks'!$D$9,"Buying intent",IF(N(S7)&lt;'KPI Benchmarks'!$D$10,"Cart",IF(N(T7)&lt;'KPI Benchmarks'!$D$11,"Checkout",IF(X7="","Add economics",IF(N(Y7)&lt;'KPI Benchmarks'!$D$12,"Economics","Healthy – scale")))))))))</f>
        <v/>
      </c>
      <c r="AA7" s="27">
        <f>IF(Z7="","",IF(Z7="Healthy – scale","All stages pass. Add $10–20/day or a new audience; test new creatives beside the main campaign.",IF(Z7="Add economics","Add this client to Client Economics.",IFERROR(INDEX('KPI Benchmarks'!$G$5:$G$12,MATCH(Z7,'KPI Benchmarks'!$A$5:$A$12,0)),""))))</f>
        <v/>
      </c>
      <c r="AB7" s="13" t="n"/>
    </row>
    <row r="8">
      <c r="A8" s="14" t="n"/>
      <c r="B8" s="13" t="n"/>
      <c r="C8" s="34" t="n"/>
      <c r="D8" s="40" t="n"/>
      <c r="E8" s="40" t="n"/>
      <c r="F8" s="40" t="n"/>
      <c r="G8" s="40" t="n"/>
      <c r="H8" s="40" t="n"/>
      <c r="I8" s="40" t="n"/>
      <c r="J8" s="40" t="n"/>
      <c r="K8" s="34" t="n"/>
      <c r="L8" s="36">
        <f>IFERROR(C8/D8*1000,"")</f>
        <v/>
      </c>
      <c r="M8" s="41">
        <f>IFERROR(E8/D8,"")</f>
        <v/>
      </c>
      <c r="N8" s="41">
        <f>IFERROR(F8/D8,"")</f>
        <v/>
      </c>
      <c r="O8" s="42">
        <f>IFERROR(N8/M8,"")</f>
        <v/>
      </c>
      <c r="P8" s="36">
        <f>IFERROR(C8/F8,"")</f>
        <v/>
      </c>
      <c r="Q8" s="42">
        <f>IFERROR(G8/F8,"")</f>
        <v/>
      </c>
      <c r="R8" s="43">
        <f>IFERROR(H8/G8,"")</f>
        <v/>
      </c>
      <c r="S8" s="42">
        <f>IFERROR(I8/H8,"")</f>
        <v/>
      </c>
      <c r="T8" s="42">
        <f>IFERROR(J8/I8,"")</f>
        <v/>
      </c>
      <c r="U8" s="37">
        <f>IFERROR(K8/C8,"")</f>
        <v/>
      </c>
      <c r="V8" s="36">
        <f>IFERROR(C8/J8,"")</f>
        <v/>
      </c>
      <c r="W8" s="36">
        <f>IFERROR(K8/J8,"")</f>
        <v/>
      </c>
      <c r="X8" s="37">
        <f>IFERROR(INDEX('Client Economics'!$J$5:$J$34,MATCH(B8,'Client Economics'!$A$5:$A$34,0)),"")</f>
        <v/>
      </c>
      <c r="Y8" s="37">
        <f>IFERROR(U8/X8,"")</f>
        <v/>
      </c>
      <c r="Z8" s="44">
        <f>IF(D8="","",IF(N(M8)&lt;'KPI Benchmarks'!$D$5,"Attention",IF(N(O8)&lt;'KPI Benchmarks'!$D$6,"Interest",IF(N(Q8)&lt;'KPI Benchmarks'!$D$8,"Page load",IF(N(R8)&lt;'KPI Benchmarks'!$D$9,"Buying intent",IF(N(S8)&lt;'KPI Benchmarks'!$D$10,"Cart",IF(N(T8)&lt;'KPI Benchmarks'!$D$11,"Checkout",IF(X8="","Add economics",IF(N(Y8)&lt;'KPI Benchmarks'!$D$12,"Economics","Healthy – scale")))))))))</f>
        <v/>
      </c>
      <c r="AA8" s="27">
        <f>IF(Z8="","",IF(Z8="Healthy – scale","All stages pass. Add $10–20/day or a new audience; test new creatives beside the main campaign.",IF(Z8="Add economics","Add this client to Client Economics.",IFERROR(INDEX('KPI Benchmarks'!$G$5:$G$12,MATCH(Z8,'KPI Benchmarks'!$A$5:$A$12,0)),""))))</f>
        <v/>
      </c>
      <c r="AB8" s="13" t="n"/>
    </row>
    <row r="9">
      <c r="A9" s="14" t="n"/>
      <c r="B9" s="13" t="n"/>
      <c r="C9" s="34" t="n"/>
      <c r="D9" s="40" t="n"/>
      <c r="E9" s="40" t="n"/>
      <c r="F9" s="40" t="n"/>
      <c r="G9" s="40" t="n"/>
      <c r="H9" s="40" t="n"/>
      <c r="I9" s="40" t="n"/>
      <c r="J9" s="40" t="n"/>
      <c r="K9" s="34" t="n"/>
      <c r="L9" s="36">
        <f>IFERROR(C9/D9*1000,"")</f>
        <v/>
      </c>
      <c r="M9" s="41">
        <f>IFERROR(E9/D9,"")</f>
        <v/>
      </c>
      <c r="N9" s="41">
        <f>IFERROR(F9/D9,"")</f>
        <v/>
      </c>
      <c r="O9" s="42">
        <f>IFERROR(N9/M9,"")</f>
        <v/>
      </c>
      <c r="P9" s="36">
        <f>IFERROR(C9/F9,"")</f>
        <v/>
      </c>
      <c r="Q9" s="42">
        <f>IFERROR(G9/F9,"")</f>
        <v/>
      </c>
      <c r="R9" s="43">
        <f>IFERROR(H9/G9,"")</f>
        <v/>
      </c>
      <c r="S9" s="42">
        <f>IFERROR(I9/H9,"")</f>
        <v/>
      </c>
      <c r="T9" s="42">
        <f>IFERROR(J9/I9,"")</f>
        <v/>
      </c>
      <c r="U9" s="37">
        <f>IFERROR(K9/C9,"")</f>
        <v/>
      </c>
      <c r="V9" s="36">
        <f>IFERROR(C9/J9,"")</f>
        <v/>
      </c>
      <c r="W9" s="36">
        <f>IFERROR(K9/J9,"")</f>
        <v/>
      </c>
      <c r="X9" s="37">
        <f>IFERROR(INDEX('Client Economics'!$J$5:$J$34,MATCH(B9,'Client Economics'!$A$5:$A$34,0)),"")</f>
        <v/>
      </c>
      <c r="Y9" s="37">
        <f>IFERROR(U9/X9,"")</f>
        <v/>
      </c>
      <c r="Z9" s="44">
        <f>IF(D9="","",IF(N(M9)&lt;'KPI Benchmarks'!$D$5,"Attention",IF(N(O9)&lt;'KPI Benchmarks'!$D$6,"Interest",IF(N(Q9)&lt;'KPI Benchmarks'!$D$8,"Page load",IF(N(R9)&lt;'KPI Benchmarks'!$D$9,"Buying intent",IF(N(S9)&lt;'KPI Benchmarks'!$D$10,"Cart",IF(N(T9)&lt;'KPI Benchmarks'!$D$11,"Checkout",IF(X9="","Add economics",IF(N(Y9)&lt;'KPI Benchmarks'!$D$12,"Economics","Healthy – scale")))))))))</f>
        <v/>
      </c>
      <c r="AA9" s="27">
        <f>IF(Z9="","",IF(Z9="Healthy – scale","All stages pass. Add $10–20/day or a new audience; test new creatives beside the main campaign.",IF(Z9="Add economics","Add this client to Client Economics.",IFERROR(INDEX('KPI Benchmarks'!$G$5:$G$12,MATCH(Z9,'KPI Benchmarks'!$A$5:$A$12,0)),""))))</f>
        <v/>
      </c>
      <c r="AB9" s="13" t="n"/>
    </row>
    <row r="10">
      <c r="A10" s="14" t="n"/>
      <c r="B10" s="13" t="n"/>
      <c r="C10" s="34" t="n"/>
      <c r="D10" s="40" t="n"/>
      <c r="E10" s="40" t="n"/>
      <c r="F10" s="40" t="n"/>
      <c r="G10" s="40" t="n"/>
      <c r="H10" s="40" t="n"/>
      <c r="I10" s="40" t="n"/>
      <c r="J10" s="40" t="n"/>
      <c r="K10" s="34" t="n"/>
      <c r="L10" s="36">
        <f>IFERROR(C10/D10*1000,"")</f>
        <v/>
      </c>
      <c r="M10" s="41">
        <f>IFERROR(E10/D10,"")</f>
        <v/>
      </c>
      <c r="N10" s="41">
        <f>IFERROR(F10/D10,"")</f>
        <v/>
      </c>
      <c r="O10" s="42">
        <f>IFERROR(N10/M10,"")</f>
        <v/>
      </c>
      <c r="P10" s="36">
        <f>IFERROR(C10/F10,"")</f>
        <v/>
      </c>
      <c r="Q10" s="42">
        <f>IFERROR(G10/F10,"")</f>
        <v/>
      </c>
      <c r="R10" s="43">
        <f>IFERROR(H10/G10,"")</f>
        <v/>
      </c>
      <c r="S10" s="42">
        <f>IFERROR(I10/H10,"")</f>
        <v/>
      </c>
      <c r="T10" s="42">
        <f>IFERROR(J10/I10,"")</f>
        <v/>
      </c>
      <c r="U10" s="37">
        <f>IFERROR(K10/C10,"")</f>
        <v/>
      </c>
      <c r="V10" s="36">
        <f>IFERROR(C10/J10,"")</f>
        <v/>
      </c>
      <c r="W10" s="36">
        <f>IFERROR(K10/J10,"")</f>
        <v/>
      </c>
      <c r="X10" s="37">
        <f>IFERROR(INDEX('Client Economics'!$J$5:$J$34,MATCH(B10,'Client Economics'!$A$5:$A$34,0)),"")</f>
        <v/>
      </c>
      <c r="Y10" s="37">
        <f>IFERROR(U10/X10,"")</f>
        <v/>
      </c>
      <c r="Z10" s="44">
        <f>IF(D10="","",IF(N(M10)&lt;'KPI Benchmarks'!$D$5,"Attention",IF(N(O10)&lt;'KPI Benchmarks'!$D$6,"Interest",IF(N(Q10)&lt;'KPI Benchmarks'!$D$8,"Page load",IF(N(R10)&lt;'KPI Benchmarks'!$D$9,"Buying intent",IF(N(S10)&lt;'KPI Benchmarks'!$D$10,"Cart",IF(N(T10)&lt;'KPI Benchmarks'!$D$11,"Checkout",IF(X10="","Add economics",IF(N(Y10)&lt;'KPI Benchmarks'!$D$12,"Economics","Healthy – scale")))))))))</f>
        <v/>
      </c>
      <c r="AA10" s="27">
        <f>IF(Z10="","",IF(Z10="Healthy – scale","All stages pass. Add $10–20/day or a new audience; test new creatives beside the main campaign.",IF(Z10="Add economics","Add this client to Client Economics.",IFERROR(INDEX('KPI Benchmarks'!$G$5:$G$12,MATCH(Z10,'KPI Benchmarks'!$A$5:$A$12,0)),""))))</f>
        <v/>
      </c>
      <c r="AB10" s="13" t="n"/>
    </row>
    <row r="11">
      <c r="A11" s="14" t="n"/>
      <c r="B11" s="13" t="n"/>
      <c r="C11" s="34" t="n"/>
      <c r="D11" s="40" t="n"/>
      <c r="E11" s="40" t="n"/>
      <c r="F11" s="40" t="n"/>
      <c r="G11" s="40" t="n"/>
      <c r="H11" s="40" t="n"/>
      <c r="I11" s="40" t="n"/>
      <c r="J11" s="40" t="n"/>
      <c r="K11" s="34" t="n"/>
      <c r="L11" s="36">
        <f>IFERROR(C11/D11*1000,"")</f>
        <v/>
      </c>
      <c r="M11" s="41">
        <f>IFERROR(E11/D11,"")</f>
        <v/>
      </c>
      <c r="N11" s="41">
        <f>IFERROR(F11/D11,"")</f>
        <v/>
      </c>
      <c r="O11" s="42">
        <f>IFERROR(N11/M11,"")</f>
        <v/>
      </c>
      <c r="P11" s="36">
        <f>IFERROR(C11/F11,"")</f>
        <v/>
      </c>
      <c r="Q11" s="42">
        <f>IFERROR(G11/F11,"")</f>
        <v/>
      </c>
      <c r="R11" s="43">
        <f>IFERROR(H11/G11,"")</f>
        <v/>
      </c>
      <c r="S11" s="42">
        <f>IFERROR(I11/H11,"")</f>
        <v/>
      </c>
      <c r="T11" s="42">
        <f>IFERROR(J11/I11,"")</f>
        <v/>
      </c>
      <c r="U11" s="37">
        <f>IFERROR(K11/C11,"")</f>
        <v/>
      </c>
      <c r="V11" s="36">
        <f>IFERROR(C11/J11,"")</f>
        <v/>
      </c>
      <c r="W11" s="36">
        <f>IFERROR(K11/J11,"")</f>
        <v/>
      </c>
      <c r="X11" s="37">
        <f>IFERROR(INDEX('Client Economics'!$J$5:$J$34,MATCH(B11,'Client Economics'!$A$5:$A$34,0)),"")</f>
        <v/>
      </c>
      <c r="Y11" s="37">
        <f>IFERROR(U11/X11,"")</f>
        <v/>
      </c>
      <c r="Z11" s="44">
        <f>IF(D11="","",IF(N(M11)&lt;'KPI Benchmarks'!$D$5,"Attention",IF(N(O11)&lt;'KPI Benchmarks'!$D$6,"Interest",IF(N(Q11)&lt;'KPI Benchmarks'!$D$8,"Page load",IF(N(R11)&lt;'KPI Benchmarks'!$D$9,"Buying intent",IF(N(S11)&lt;'KPI Benchmarks'!$D$10,"Cart",IF(N(T11)&lt;'KPI Benchmarks'!$D$11,"Checkout",IF(X11="","Add economics",IF(N(Y11)&lt;'KPI Benchmarks'!$D$12,"Economics","Healthy – scale")))))))))</f>
        <v/>
      </c>
      <c r="AA11" s="27">
        <f>IF(Z11="","",IF(Z11="Healthy – scale","All stages pass. Add $10–20/day or a new audience; test new creatives beside the main campaign.",IF(Z11="Add economics","Add this client to Client Economics.",IFERROR(INDEX('KPI Benchmarks'!$G$5:$G$12,MATCH(Z11,'KPI Benchmarks'!$A$5:$A$12,0)),""))))</f>
        <v/>
      </c>
      <c r="AB11" s="13" t="n"/>
    </row>
    <row r="12">
      <c r="A12" s="14" t="n"/>
      <c r="B12" s="13" t="n"/>
      <c r="C12" s="34" t="n"/>
      <c r="D12" s="40" t="n"/>
      <c r="E12" s="40" t="n"/>
      <c r="F12" s="40" t="n"/>
      <c r="G12" s="40" t="n"/>
      <c r="H12" s="40" t="n"/>
      <c r="I12" s="40" t="n"/>
      <c r="J12" s="40" t="n"/>
      <c r="K12" s="34" t="n"/>
      <c r="L12" s="36">
        <f>IFERROR(C12/D12*1000,"")</f>
        <v/>
      </c>
      <c r="M12" s="41">
        <f>IFERROR(E12/D12,"")</f>
        <v/>
      </c>
      <c r="N12" s="41">
        <f>IFERROR(F12/D12,"")</f>
        <v/>
      </c>
      <c r="O12" s="42">
        <f>IFERROR(N12/M12,"")</f>
        <v/>
      </c>
      <c r="P12" s="36">
        <f>IFERROR(C12/F12,"")</f>
        <v/>
      </c>
      <c r="Q12" s="42">
        <f>IFERROR(G12/F12,"")</f>
        <v/>
      </c>
      <c r="R12" s="43">
        <f>IFERROR(H12/G12,"")</f>
        <v/>
      </c>
      <c r="S12" s="42">
        <f>IFERROR(I12/H12,"")</f>
        <v/>
      </c>
      <c r="T12" s="42">
        <f>IFERROR(J12/I12,"")</f>
        <v/>
      </c>
      <c r="U12" s="37">
        <f>IFERROR(K12/C12,"")</f>
        <v/>
      </c>
      <c r="V12" s="36">
        <f>IFERROR(C12/J12,"")</f>
        <v/>
      </c>
      <c r="W12" s="36">
        <f>IFERROR(K12/J12,"")</f>
        <v/>
      </c>
      <c r="X12" s="37">
        <f>IFERROR(INDEX('Client Economics'!$J$5:$J$34,MATCH(B12,'Client Economics'!$A$5:$A$34,0)),"")</f>
        <v/>
      </c>
      <c r="Y12" s="37">
        <f>IFERROR(U12/X12,"")</f>
        <v/>
      </c>
      <c r="Z12" s="44">
        <f>IF(D12="","",IF(N(M12)&lt;'KPI Benchmarks'!$D$5,"Attention",IF(N(O12)&lt;'KPI Benchmarks'!$D$6,"Interest",IF(N(Q12)&lt;'KPI Benchmarks'!$D$8,"Page load",IF(N(R12)&lt;'KPI Benchmarks'!$D$9,"Buying intent",IF(N(S12)&lt;'KPI Benchmarks'!$D$10,"Cart",IF(N(T12)&lt;'KPI Benchmarks'!$D$11,"Checkout",IF(X12="","Add economics",IF(N(Y12)&lt;'KPI Benchmarks'!$D$12,"Economics","Healthy – scale")))))))))</f>
        <v/>
      </c>
      <c r="AA12" s="27">
        <f>IF(Z12="","",IF(Z12="Healthy – scale","All stages pass. Add $10–20/day or a new audience; test new creatives beside the main campaign.",IF(Z12="Add economics","Add this client to Client Economics.",IFERROR(INDEX('KPI Benchmarks'!$G$5:$G$12,MATCH(Z12,'KPI Benchmarks'!$A$5:$A$12,0)),""))))</f>
        <v/>
      </c>
      <c r="AB12" s="13" t="n"/>
    </row>
    <row r="13">
      <c r="A13" s="14" t="n"/>
      <c r="B13" s="13" t="n"/>
      <c r="C13" s="34" t="n"/>
      <c r="D13" s="40" t="n"/>
      <c r="E13" s="40" t="n"/>
      <c r="F13" s="40" t="n"/>
      <c r="G13" s="40" t="n"/>
      <c r="H13" s="40" t="n"/>
      <c r="I13" s="40" t="n"/>
      <c r="J13" s="40" t="n"/>
      <c r="K13" s="34" t="n"/>
      <c r="L13" s="36">
        <f>IFERROR(C13/D13*1000,"")</f>
        <v/>
      </c>
      <c r="M13" s="41">
        <f>IFERROR(E13/D13,"")</f>
        <v/>
      </c>
      <c r="N13" s="41">
        <f>IFERROR(F13/D13,"")</f>
        <v/>
      </c>
      <c r="O13" s="42">
        <f>IFERROR(N13/M13,"")</f>
        <v/>
      </c>
      <c r="P13" s="36">
        <f>IFERROR(C13/F13,"")</f>
        <v/>
      </c>
      <c r="Q13" s="42">
        <f>IFERROR(G13/F13,"")</f>
        <v/>
      </c>
      <c r="R13" s="43">
        <f>IFERROR(H13/G13,"")</f>
        <v/>
      </c>
      <c r="S13" s="42">
        <f>IFERROR(I13/H13,"")</f>
        <v/>
      </c>
      <c r="T13" s="42">
        <f>IFERROR(J13/I13,"")</f>
        <v/>
      </c>
      <c r="U13" s="37">
        <f>IFERROR(K13/C13,"")</f>
        <v/>
      </c>
      <c r="V13" s="36">
        <f>IFERROR(C13/J13,"")</f>
        <v/>
      </c>
      <c r="W13" s="36">
        <f>IFERROR(K13/J13,"")</f>
        <v/>
      </c>
      <c r="X13" s="37">
        <f>IFERROR(INDEX('Client Economics'!$J$5:$J$34,MATCH(B13,'Client Economics'!$A$5:$A$34,0)),"")</f>
        <v/>
      </c>
      <c r="Y13" s="37">
        <f>IFERROR(U13/X13,"")</f>
        <v/>
      </c>
      <c r="Z13" s="44">
        <f>IF(D13="","",IF(N(M13)&lt;'KPI Benchmarks'!$D$5,"Attention",IF(N(O13)&lt;'KPI Benchmarks'!$D$6,"Interest",IF(N(Q13)&lt;'KPI Benchmarks'!$D$8,"Page load",IF(N(R13)&lt;'KPI Benchmarks'!$D$9,"Buying intent",IF(N(S13)&lt;'KPI Benchmarks'!$D$10,"Cart",IF(N(T13)&lt;'KPI Benchmarks'!$D$11,"Checkout",IF(X13="","Add economics",IF(N(Y13)&lt;'KPI Benchmarks'!$D$12,"Economics","Healthy – scale")))))))))</f>
        <v/>
      </c>
      <c r="AA13" s="27">
        <f>IF(Z13="","",IF(Z13="Healthy – scale","All stages pass. Add $10–20/day or a new audience; test new creatives beside the main campaign.",IF(Z13="Add economics","Add this client to Client Economics.",IFERROR(INDEX('KPI Benchmarks'!$G$5:$G$12,MATCH(Z13,'KPI Benchmarks'!$A$5:$A$12,0)),""))))</f>
        <v/>
      </c>
      <c r="AB13" s="13" t="n"/>
    </row>
    <row r="14">
      <c r="A14" s="14" t="n"/>
      <c r="B14" s="13" t="n"/>
      <c r="C14" s="34" t="n"/>
      <c r="D14" s="40" t="n"/>
      <c r="E14" s="40" t="n"/>
      <c r="F14" s="40" t="n"/>
      <c r="G14" s="40" t="n"/>
      <c r="H14" s="40" t="n"/>
      <c r="I14" s="40" t="n"/>
      <c r="J14" s="40" t="n"/>
      <c r="K14" s="34" t="n"/>
      <c r="L14" s="36">
        <f>IFERROR(C14/D14*1000,"")</f>
        <v/>
      </c>
      <c r="M14" s="41">
        <f>IFERROR(E14/D14,"")</f>
        <v/>
      </c>
      <c r="N14" s="41">
        <f>IFERROR(F14/D14,"")</f>
        <v/>
      </c>
      <c r="O14" s="42">
        <f>IFERROR(N14/M14,"")</f>
        <v/>
      </c>
      <c r="P14" s="36">
        <f>IFERROR(C14/F14,"")</f>
        <v/>
      </c>
      <c r="Q14" s="42">
        <f>IFERROR(G14/F14,"")</f>
        <v/>
      </c>
      <c r="R14" s="43">
        <f>IFERROR(H14/G14,"")</f>
        <v/>
      </c>
      <c r="S14" s="42">
        <f>IFERROR(I14/H14,"")</f>
        <v/>
      </c>
      <c r="T14" s="42">
        <f>IFERROR(J14/I14,"")</f>
        <v/>
      </c>
      <c r="U14" s="37">
        <f>IFERROR(K14/C14,"")</f>
        <v/>
      </c>
      <c r="V14" s="36">
        <f>IFERROR(C14/J14,"")</f>
        <v/>
      </c>
      <c r="W14" s="36">
        <f>IFERROR(K14/J14,"")</f>
        <v/>
      </c>
      <c r="X14" s="37">
        <f>IFERROR(INDEX('Client Economics'!$J$5:$J$34,MATCH(B14,'Client Economics'!$A$5:$A$34,0)),"")</f>
        <v/>
      </c>
      <c r="Y14" s="37">
        <f>IFERROR(U14/X14,"")</f>
        <v/>
      </c>
      <c r="Z14" s="44">
        <f>IF(D14="","",IF(N(M14)&lt;'KPI Benchmarks'!$D$5,"Attention",IF(N(O14)&lt;'KPI Benchmarks'!$D$6,"Interest",IF(N(Q14)&lt;'KPI Benchmarks'!$D$8,"Page load",IF(N(R14)&lt;'KPI Benchmarks'!$D$9,"Buying intent",IF(N(S14)&lt;'KPI Benchmarks'!$D$10,"Cart",IF(N(T14)&lt;'KPI Benchmarks'!$D$11,"Checkout",IF(X14="","Add economics",IF(N(Y14)&lt;'KPI Benchmarks'!$D$12,"Economics","Healthy – scale")))))))))</f>
        <v/>
      </c>
      <c r="AA14" s="27">
        <f>IF(Z14="","",IF(Z14="Healthy – scale","All stages pass. Add $10–20/day or a new audience; test new creatives beside the main campaign.",IF(Z14="Add economics","Add this client to Client Economics.",IFERROR(INDEX('KPI Benchmarks'!$G$5:$G$12,MATCH(Z14,'KPI Benchmarks'!$A$5:$A$12,0)),""))))</f>
        <v/>
      </c>
      <c r="AB14" s="13" t="n"/>
    </row>
    <row r="15">
      <c r="A15" s="14" t="n"/>
      <c r="B15" s="13" t="n"/>
      <c r="C15" s="34" t="n"/>
      <c r="D15" s="40" t="n"/>
      <c r="E15" s="40" t="n"/>
      <c r="F15" s="40" t="n"/>
      <c r="G15" s="40" t="n"/>
      <c r="H15" s="40" t="n"/>
      <c r="I15" s="40" t="n"/>
      <c r="J15" s="40" t="n"/>
      <c r="K15" s="34" t="n"/>
      <c r="L15" s="36">
        <f>IFERROR(C15/D15*1000,"")</f>
        <v/>
      </c>
      <c r="M15" s="41">
        <f>IFERROR(E15/D15,"")</f>
        <v/>
      </c>
      <c r="N15" s="41">
        <f>IFERROR(F15/D15,"")</f>
        <v/>
      </c>
      <c r="O15" s="42">
        <f>IFERROR(N15/M15,"")</f>
        <v/>
      </c>
      <c r="P15" s="36">
        <f>IFERROR(C15/F15,"")</f>
        <v/>
      </c>
      <c r="Q15" s="42">
        <f>IFERROR(G15/F15,"")</f>
        <v/>
      </c>
      <c r="R15" s="43">
        <f>IFERROR(H15/G15,"")</f>
        <v/>
      </c>
      <c r="S15" s="42">
        <f>IFERROR(I15/H15,"")</f>
        <v/>
      </c>
      <c r="T15" s="42">
        <f>IFERROR(J15/I15,"")</f>
        <v/>
      </c>
      <c r="U15" s="37">
        <f>IFERROR(K15/C15,"")</f>
        <v/>
      </c>
      <c r="V15" s="36">
        <f>IFERROR(C15/J15,"")</f>
        <v/>
      </c>
      <c r="W15" s="36">
        <f>IFERROR(K15/J15,"")</f>
        <v/>
      </c>
      <c r="X15" s="37">
        <f>IFERROR(INDEX('Client Economics'!$J$5:$J$34,MATCH(B15,'Client Economics'!$A$5:$A$34,0)),"")</f>
        <v/>
      </c>
      <c r="Y15" s="37">
        <f>IFERROR(U15/X15,"")</f>
        <v/>
      </c>
      <c r="Z15" s="44">
        <f>IF(D15="","",IF(N(M15)&lt;'KPI Benchmarks'!$D$5,"Attention",IF(N(O15)&lt;'KPI Benchmarks'!$D$6,"Interest",IF(N(Q15)&lt;'KPI Benchmarks'!$D$8,"Page load",IF(N(R15)&lt;'KPI Benchmarks'!$D$9,"Buying intent",IF(N(S15)&lt;'KPI Benchmarks'!$D$10,"Cart",IF(N(T15)&lt;'KPI Benchmarks'!$D$11,"Checkout",IF(X15="","Add economics",IF(N(Y15)&lt;'KPI Benchmarks'!$D$12,"Economics","Healthy – scale")))))))))</f>
        <v/>
      </c>
      <c r="AA15" s="27">
        <f>IF(Z15="","",IF(Z15="Healthy – scale","All stages pass. Add $10–20/day or a new audience; test new creatives beside the main campaign.",IF(Z15="Add economics","Add this client to Client Economics.",IFERROR(INDEX('KPI Benchmarks'!$G$5:$G$12,MATCH(Z15,'KPI Benchmarks'!$A$5:$A$12,0)),""))))</f>
        <v/>
      </c>
      <c r="AB15" s="13" t="n"/>
    </row>
    <row r="16">
      <c r="A16" s="14" t="n"/>
      <c r="B16" s="13" t="n"/>
      <c r="C16" s="34" t="n"/>
      <c r="D16" s="40" t="n"/>
      <c r="E16" s="40" t="n"/>
      <c r="F16" s="40" t="n"/>
      <c r="G16" s="40" t="n"/>
      <c r="H16" s="40" t="n"/>
      <c r="I16" s="40" t="n"/>
      <c r="J16" s="40" t="n"/>
      <c r="K16" s="34" t="n"/>
      <c r="L16" s="36">
        <f>IFERROR(C16/D16*1000,"")</f>
        <v/>
      </c>
      <c r="M16" s="41">
        <f>IFERROR(E16/D16,"")</f>
        <v/>
      </c>
      <c r="N16" s="41">
        <f>IFERROR(F16/D16,"")</f>
        <v/>
      </c>
      <c r="O16" s="42">
        <f>IFERROR(N16/M16,"")</f>
        <v/>
      </c>
      <c r="P16" s="36">
        <f>IFERROR(C16/F16,"")</f>
        <v/>
      </c>
      <c r="Q16" s="42">
        <f>IFERROR(G16/F16,"")</f>
        <v/>
      </c>
      <c r="R16" s="43">
        <f>IFERROR(H16/G16,"")</f>
        <v/>
      </c>
      <c r="S16" s="42">
        <f>IFERROR(I16/H16,"")</f>
        <v/>
      </c>
      <c r="T16" s="42">
        <f>IFERROR(J16/I16,"")</f>
        <v/>
      </c>
      <c r="U16" s="37">
        <f>IFERROR(K16/C16,"")</f>
        <v/>
      </c>
      <c r="V16" s="36">
        <f>IFERROR(C16/J16,"")</f>
        <v/>
      </c>
      <c r="W16" s="36">
        <f>IFERROR(K16/J16,"")</f>
        <v/>
      </c>
      <c r="X16" s="37">
        <f>IFERROR(INDEX('Client Economics'!$J$5:$J$34,MATCH(B16,'Client Economics'!$A$5:$A$34,0)),"")</f>
        <v/>
      </c>
      <c r="Y16" s="37">
        <f>IFERROR(U16/X16,"")</f>
        <v/>
      </c>
      <c r="Z16" s="44">
        <f>IF(D16="","",IF(N(M16)&lt;'KPI Benchmarks'!$D$5,"Attention",IF(N(O16)&lt;'KPI Benchmarks'!$D$6,"Interest",IF(N(Q16)&lt;'KPI Benchmarks'!$D$8,"Page load",IF(N(R16)&lt;'KPI Benchmarks'!$D$9,"Buying intent",IF(N(S16)&lt;'KPI Benchmarks'!$D$10,"Cart",IF(N(T16)&lt;'KPI Benchmarks'!$D$11,"Checkout",IF(X16="","Add economics",IF(N(Y16)&lt;'KPI Benchmarks'!$D$12,"Economics","Healthy – scale")))))))))</f>
        <v/>
      </c>
      <c r="AA16" s="27">
        <f>IF(Z16="","",IF(Z16="Healthy – scale","All stages pass. Add $10–20/day or a new audience; test new creatives beside the main campaign.",IF(Z16="Add economics","Add this client to Client Economics.",IFERROR(INDEX('KPI Benchmarks'!$G$5:$G$12,MATCH(Z16,'KPI Benchmarks'!$A$5:$A$12,0)),""))))</f>
        <v/>
      </c>
      <c r="AB16" s="13" t="n"/>
    </row>
    <row r="17">
      <c r="A17" s="14" t="n"/>
      <c r="B17" s="13" t="n"/>
      <c r="C17" s="34" t="n"/>
      <c r="D17" s="40" t="n"/>
      <c r="E17" s="40" t="n"/>
      <c r="F17" s="40" t="n"/>
      <c r="G17" s="40" t="n"/>
      <c r="H17" s="40" t="n"/>
      <c r="I17" s="40" t="n"/>
      <c r="J17" s="40" t="n"/>
      <c r="K17" s="34" t="n"/>
      <c r="L17" s="36">
        <f>IFERROR(C17/D17*1000,"")</f>
        <v/>
      </c>
      <c r="M17" s="41">
        <f>IFERROR(E17/D17,"")</f>
        <v/>
      </c>
      <c r="N17" s="41">
        <f>IFERROR(F17/D17,"")</f>
        <v/>
      </c>
      <c r="O17" s="42">
        <f>IFERROR(N17/M17,"")</f>
        <v/>
      </c>
      <c r="P17" s="36">
        <f>IFERROR(C17/F17,"")</f>
        <v/>
      </c>
      <c r="Q17" s="42">
        <f>IFERROR(G17/F17,"")</f>
        <v/>
      </c>
      <c r="R17" s="43">
        <f>IFERROR(H17/G17,"")</f>
        <v/>
      </c>
      <c r="S17" s="42">
        <f>IFERROR(I17/H17,"")</f>
        <v/>
      </c>
      <c r="T17" s="42">
        <f>IFERROR(J17/I17,"")</f>
        <v/>
      </c>
      <c r="U17" s="37">
        <f>IFERROR(K17/C17,"")</f>
        <v/>
      </c>
      <c r="V17" s="36">
        <f>IFERROR(C17/J17,"")</f>
        <v/>
      </c>
      <c r="W17" s="36">
        <f>IFERROR(K17/J17,"")</f>
        <v/>
      </c>
      <c r="X17" s="37">
        <f>IFERROR(INDEX('Client Economics'!$J$5:$J$34,MATCH(B17,'Client Economics'!$A$5:$A$34,0)),"")</f>
        <v/>
      </c>
      <c r="Y17" s="37">
        <f>IFERROR(U17/X17,"")</f>
        <v/>
      </c>
      <c r="Z17" s="44">
        <f>IF(D17="","",IF(N(M17)&lt;'KPI Benchmarks'!$D$5,"Attention",IF(N(O17)&lt;'KPI Benchmarks'!$D$6,"Interest",IF(N(Q17)&lt;'KPI Benchmarks'!$D$8,"Page load",IF(N(R17)&lt;'KPI Benchmarks'!$D$9,"Buying intent",IF(N(S17)&lt;'KPI Benchmarks'!$D$10,"Cart",IF(N(T17)&lt;'KPI Benchmarks'!$D$11,"Checkout",IF(X17="","Add economics",IF(N(Y17)&lt;'KPI Benchmarks'!$D$12,"Economics","Healthy – scale")))))))))</f>
        <v/>
      </c>
      <c r="AA17" s="27">
        <f>IF(Z17="","",IF(Z17="Healthy – scale","All stages pass. Add $10–20/day or a new audience; test new creatives beside the main campaign.",IF(Z17="Add economics","Add this client to Client Economics.",IFERROR(INDEX('KPI Benchmarks'!$G$5:$G$12,MATCH(Z17,'KPI Benchmarks'!$A$5:$A$12,0)),""))))</f>
        <v/>
      </c>
      <c r="AB17" s="13" t="n"/>
    </row>
    <row r="18">
      <c r="A18" s="14" t="n"/>
      <c r="B18" s="13" t="n"/>
      <c r="C18" s="34" t="n"/>
      <c r="D18" s="40" t="n"/>
      <c r="E18" s="40" t="n"/>
      <c r="F18" s="40" t="n"/>
      <c r="G18" s="40" t="n"/>
      <c r="H18" s="40" t="n"/>
      <c r="I18" s="40" t="n"/>
      <c r="J18" s="40" t="n"/>
      <c r="K18" s="34" t="n"/>
      <c r="L18" s="36">
        <f>IFERROR(C18/D18*1000,"")</f>
        <v/>
      </c>
      <c r="M18" s="41">
        <f>IFERROR(E18/D18,"")</f>
        <v/>
      </c>
      <c r="N18" s="41">
        <f>IFERROR(F18/D18,"")</f>
        <v/>
      </c>
      <c r="O18" s="42">
        <f>IFERROR(N18/M18,"")</f>
        <v/>
      </c>
      <c r="P18" s="36">
        <f>IFERROR(C18/F18,"")</f>
        <v/>
      </c>
      <c r="Q18" s="42">
        <f>IFERROR(G18/F18,"")</f>
        <v/>
      </c>
      <c r="R18" s="43">
        <f>IFERROR(H18/G18,"")</f>
        <v/>
      </c>
      <c r="S18" s="42">
        <f>IFERROR(I18/H18,"")</f>
        <v/>
      </c>
      <c r="T18" s="42">
        <f>IFERROR(J18/I18,"")</f>
        <v/>
      </c>
      <c r="U18" s="37">
        <f>IFERROR(K18/C18,"")</f>
        <v/>
      </c>
      <c r="V18" s="36">
        <f>IFERROR(C18/J18,"")</f>
        <v/>
      </c>
      <c r="W18" s="36">
        <f>IFERROR(K18/J18,"")</f>
        <v/>
      </c>
      <c r="X18" s="37">
        <f>IFERROR(INDEX('Client Economics'!$J$5:$J$34,MATCH(B18,'Client Economics'!$A$5:$A$34,0)),"")</f>
        <v/>
      </c>
      <c r="Y18" s="37">
        <f>IFERROR(U18/X18,"")</f>
        <v/>
      </c>
      <c r="Z18" s="44">
        <f>IF(D18="","",IF(N(M18)&lt;'KPI Benchmarks'!$D$5,"Attention",IF(N(O18)&lt;'KPI Benchmarks'!$D$6,"Interest",IF(N(Q18)&lt;'KPI Benchmarks'!$D$8,"Page load",IF(N(R18)&lt;'KPI Benchmarks'!$D$9,"Buying intent",IF(N(S18)&lt;'KPI Benchmarks'!$D$10,"Cart",IF(N(T18)&lt;'KPI Benchmarks'!$D$11,"Checkout",IF(X18="","Add economics",IF(N(Y18)&lt;'KPI Benchmarks'!$D$12,"Economics","Healthy – scale")))))))))</f>
        <v/>
      </c>
      <c r="AA18" s="27">
        <f>IF(Z18="","",IF(Z18="Healthy – scale","All stages pass. Add $10–20/day or a new audience; test new creatives beside the main campaign.",IF(Z18="Add economics","Add this client to Client Economics.",IFERROR(INDEX('KPI Benchmarks'!$G$5:$G$12,MATCH(Z18,'KPI Benchmarks'!$A$5:$A$12,0)),""))))</f>
        <v/>
      </c>
      <c r="AB18" s="13" t="n"/>
    </row>
    <row r="19">
      <c r="A19" s="14" t="n"/>
      <c r="B19" s="13" t="n"/>
      <c r="C19" s="34" t="n"/>
      <c r="D19" s="40" t="n"/>
      <c r="E19" s="40" t="n"/>
      <c r="F19" s="40" t="n"/>
      <c r="G19" s="40" t="n"/>
      <c r="H19" s="40" t="n"/>
      <c r="I19" s="40" t="n"/>
      <c r="J19" s="40" t="n"/>
      <c r="K19" s="34" t="n"/>
      <c r="L19" s="36">
        <f>IFERROR(C19/D19*1000,"")</f>
        <v/>
      </c>
      <c r="M19" s="41">
        <f>IFERROR(E19/D19,"")</f>
        <v/>
      </c>
      <c r="N19" s="41">
        <f>IFERROR(F19/D19,"")</f>
        <v/>
      </c>
      <c r="O19" s="42">
        <f>IFERROR(N19/M19,"")</f>
        <v/>
      </c>
      <c r="P19" s="36">
        <f>IFERROR(C19/F19,"")</f>
        <v/>
      </c>
      <c r="Q19" s="42">
        <f>IFERROR(G19/F19,"")</f>
        <v/>
      </c>
      <c r="R19" s="43">
        <f>IFERROR(H19/G19,"")</f>
        <v/>
      </c>
      <c r="S19" s="42">
        <f>IFERROR(I19/H19,"")</f>
        <v/>
      </c>
      <c r="T19" s="42">
        <f>IFERROR(J19/I19,"")</f>
        <v/>
      </c>
      <c r="U19" s="37">
        <f>IFERROR(K19/C19,"")</f>
        <v/>
      </c>
      <c r="V19" s="36">
        <f>IFERROR(C19/J19,"")</f>
        <v/>
      </c>
      <c r="W19" s="36">
        <f>IFERROR(K19/J19,"")</f>
        <v/>
      </c>
      <c r="X19" s="37">
        <f>IFERROR(INDEX('Client Economics'!$J$5:$J$34,MATCH(B19,'Client Economics'!$A$5:$A$34,0)),"")</f>
        <v/>
      </c>
      <c r="Y19" s="37">
        <f>IFERROR(U19/X19,"")</f>
        <v/>
      </c>
      <c r="Z19" s="44">
        <f>IF(D19="","",IF(N(M19)&lt;'KPI Benchmarks'!$D$5,"Attention",IF(N(O19)&lt;'KPI Benchmarks'!$D$6,"Interest",IF(N(Q19)&lt;'KPI Benchmarks'!$D$8,"Page load",IF(N(R19)&lt;'KPI Benchmarks'!$D$9,"Buying intent",IF(N(S19)&lt;'KPI Benchmarks'!$D$10,"Cart",IF(N(T19)&lt;'KPI Benchmarks'!$D$11,"Checkout",IF(X19="","Add economics",IF(N(Y19)&lt;'KPI Benchmarks'!$D$12,"Economics","Healthy – scale")))))))))</f>
        <v/>
      </c>
      <c r="AA19" s="27">
        <f>IF(Z19="","",IF(Z19="Healthy – scale","All stages pass. Add $10–20/day or a new audience; test new creatives beside the main campaign.",IF(Z19="Add economics","Add this client to Client Economics.",IFERROR(INDEX('KPI Benchmarks'!$G$5:$G$12,MATCH(Z19,'KPI Benchmarks'!$A$5:$A$12,0)),""))))</f>
        <v/>
      </c>
      <c r="AB19" s="13" t="n"/>
    </row>
    <row r="20">
      <c r="A20" s="14" t="n"/>
      <c r="B20" s="13" t="n"/>
      <c r="C20" s="34" t="n"/>
      <c r="D20" s="40" t="n"/>
      <c r="E20" s="40" t="n"/>
      <c r="F20" s="40" t="n"/>
      <c r="G20" s="40" t="n"/>
      <c r="H20" s="40" t="n"/>
      <c r="I20" s="40" t="n"/>
      <c r="J20" s="40" t="n"/>
      <c r="K20" s="34" t="n"/>
      <c r="L20" s="36">
        <f>IFERROR(C20/D20*1000,"")</f>
        <v/>
      </c>
      <c r="M20" s="41">
        <f>IFERROR(E20/D20,"")</f>
        <v/>
      </c>
      <c r="N20" s="41">
        <f>IFERROR(F20/D20,"")</f>
        <v/>
      </c>
      <c r="O20" s="42">
        <f>IFERROR(N20/M20,"")</f>
        <v/>
      </c>
      <c r="P20" s="36">
        <f>IFERROR(C20/F20,"")</f>
        <v/>
      </c>
      <c r="Q20" s="42">
        <f>IFERROR(G20/F20,"")</f>
        <v/>
      </c>
      <c r="R20" s="43">
        <f>IFERROR(H20/G20,"")</f>
        <v/>
      </c>
      <c r="S20" s="42">
        <f>IFERROR(I20/H20,"")</f>
        <v/>
      </c>
      <c r="T20" s="42">
        <f>IFERROR(J20/I20,"")</f>
        <v/>
      </c>
      <c r="U20" s="37">
        <f>IFERROR(K20/C20,"")</f>
        <v/>
      </c>
      <c r="V20" s="36">
        <f>IFERROR(C20/J20,"")</f>
        <v/>
      </c>
      <c r="W20" s="36">
        <f>IFERROR(K20/J20,"")</f>
        <v/>
      </c>
      <c r="X20" s="37">
        <f>IFERROR(INDEX('Client Economics'!$J$5:$J$34,MATCH(B20,'Client Economics'!$A$5:$A$34,0)),"")</f>
        <v/>
      </c>
      <c r="Y20" s="37">
        <f>IFERROR(U20/X20,"")</f>
        <v/>
      </c>
      <c r="Z20" s="44">
        <f>IF(D20="","",IF(N(M20)&lt;'KPI Benchmarks'!$D$5,"Attention",IF(N(O20)&lt;'KPI Benchmarks'!$D$6,"Interest",IF(N(Q20)&lt;'KPI Benchmarks'!$D$8,"Page load",IF(N(R20)&lt;'KPI Benchmarks'!$D$9,"Buying intent",IF(N(S20)&lt;'KPI Benchmarks'!$D$10,"Cart",IF(N(T20)&lt;'KPI Benchmarks'!$D$11,"Checkout",IF(X20="","Add economics",IF(N(Y20)&lt;'KPI Benchmarks'!$D$12,"Economics","Healthy – scale")))))))))</f>
        <v/>
      </c>
      <c r="AA20" s="27">
        <f>IF(Z20="","",IF(Z20="Healthy – scale","All stages pass. Add $10–20/day or a new audience; test new creatives beside the main campaign.",IF(Z20="Add economics","Add this client to Client Economics.",IFERROR(INDEX('KPI Benchmarks'!$G$5:$G$12,MATCH(Z20,'KPI Benchmarks'!$A$5:$A$12,0)),""))))</f>
        <v/>
      </c>
      <c r="AB20" s="13" t="n"/>
    </row>
    <row r="21">
      <c r="A21" s="14" t="n"/>
      <c r="B21" s="13" t="n"/>
      <c r="C21" s="34" t="n"/>
      <c r="D21" s="40" t="n"/>
      <c r="E21" s="40" t="n"/>
      <c r="F21" s="40" t="n"/>
      <c r="G21" s="40" t="n"/>
      <c r="H21" s="40" t="n"/>
      <c r="I21" s="40" t="n"/>
      <c r="J21" s="40" t="n"/>
      <c r="K21" s="34" t="n"/>
      <c r="L21" s="36">
        <f>IFERROR(C21/D21*1000,"")</f>
        <v/>
      </c>
      <c r="M21" s="41">
        <f>IFERROR(E21/D21,"")</f>
        <v/>
      </c>
      <c r="N21" s="41">
        <f>IFERROR(F21/D21,"")</f>
        <v/>
      </c>
      <c r="O21" s="42">
        <f>IFERROR(N21/M21,"")</f>
        <v/>
      </c>
      <c r="P21" s="36">
        <f>IFERROR(C21/F21,"")</f>
        <v/>
      </c>
      <c r="Q21" s="42">
        <f>IFERROR(G21/F21,"")</f>
        <v/>
      </c>
      <c r="R21" s="43">
        <f>IFERROR(H21/G21,"")</f>
        <v/>
      </c>
      <c r="S21" s="42">
        <f>IFERROR(I21/H21,"")</f>
        <v/>
      </c>
      <c r="T21" s="42">
        <f>IFERROR(J21/I21,"")</f>
        <v/>
      </c>
      <c r="U21" s="37">
        <f>IFERROR(K21/C21,"")</f>
        <v/>
      </c>
      <c r="V21" s="36">
        <f>IFERROR(C21/J21,"")</f>
        <v/>
      </c>
      <c r="W21" s="36">
        <f>IFERROR(K21/J21,"")</f>
        <v/>
      </c>
      <c r="X21" s="37">
        <f>IFERROR(INDEX('Client Economics'!$J$5:$J$34,MATCH(B21,'Client Economics'!$A$5:$A$34,0)),"")</f>
        <v/>
      </c>
      <c r="Y21" s="37">
        <f>IFERROR(U21/X21,"")</f>
        <v/>
      </c>
      <c r="Z21" s="44">
        <f>IF(D21="","",IF(N(M21)&lt;'KPI Benchmarks'!$D$5,"Attention",IF(N(O21)&lt;'KPI Benchmarks'!$D$6,"Interest",IF(N(Q21)&lt;'KPI Benchmarks'!$D$8,"Page load",IF(N(R21)&lt;'KPI Benchmarks'!$D$9,"Buying intent",IF(N(S21)&lt;'KPI Benchmarks'!$D$10,"Cart",IF(N(T21)&lt;'KPI Benchmarks'!$D$11,"Checkout",IF(X21="","Add economics",IF(N(Y21)&lt;'KPI Benchmarks'!$D$12,"Economics","Healthy – scale")))))))))</f>
        <v/>
      </c>
      <c r="AA21" s="27">
        <f>IF(Z21="","",IF(Z21="Healthy – scale","All stages pass. Add $10–20/day or a new audience; test new creatives beside the main campaign.",IF(Z21="Add economics","Add this client to Client Economics.",IFERROR(INDEX('KPI Benchmarks'!$G$5:$G$12,MATCH(Z21,'KPI Benchmarks'!$A$5:$A$12,0)),""))))</f>
        <v/>
      </c>
      <c r="AB21" s="13" t="n"/>
    </row>
    <row r="22">
      <c r="A22" s="14" t="n"/>
      <c r="B22" s="13" t="n"/>
      <c r="C22" s="34" t="n"/>
      <c r="D22" s="40" t="n"/>
      <c r="E22" s="40" t="n"/>
      <c r="F22" s="40" t="n"/>
      <c r="G22" s="40" t="n"/>
      <c r="H22" s="40" t="n"/>
      <c r="I22" s="40" t="n"/>
      <c r="J22" s="40" t="n"/>
      <c r="K22" s="34" t="n"/>
      <c r="L22" s="36">
        <f>IFERROR(C22/D22*1000,"")</f>
        <v/>
      </c>
      <c r="M22" s="41">
        <f>IFERROR(E22/D22,"")</f>
        <v/>
      </c>
      <c r="N22" s="41">
        <f>IFERROR(F22/D22,"")</f>
        <v/>
      </c>
      <c r="O22" s="42">
        <f>IFERROR(N22/M22,"")</f>
        <v/>
      </c>
      <c r="P22" s="36">
        <f>IFERROR(C22/F22,"")</f>
        <v/>
      </c>
      <c r="Q22" s="42">
        <f>IFERROR(G22/F22,"")</f>
        <v/>
      </c>
      <c r="R22" s="43">
        <f>IFERROR(H22/G22,"")</f>
        <v/>
      </c>
      <c r="S22" s="42">
        <f>IFERROR(I22/H22,"")</f>
        <v/>
      </c>
      <c r="T22" s="42">
        <f>IFERROR(J22/I22,"")</f>
        <v/>
      </c>
      <c r="U22" s="37">
        <f>IFERROR(K22/C22,"")</f>
        <v/>
      </c>
      <c r="V22" s="36">
        <f>IFERROR(C22/J22,"")</f>
        <v/>
      </c>
      <c r="W22" s="36">
        <f>IFERROR(K22/J22,"")</f>
        <v/>
      </c>
      <c r="X22" s="37">
        <f>IFERROR(INDEX('Client Economics'!$J$5:$J$34,MATCH(B22,'Client Economics'!$A$5:$A$34,0)),"")</f>
        <v/>
      </c>
      <c r="Y22" s="37">
        <f>IFERROR(U22/X22,"")</f>
        <v/>
      </c>
      <c r="Z22" s="44">
        <f>IF(D22="","",IF(N(M22)&lt;'KPI Benchmarks'!$D$5,"Attention",IF(N(O22)&lt;'KPI Benchmarks'!$D$6,"Interest",IF(N(Q22)&lt;'KPI Benchmarks'!$D$8,"Page load",IF(N(R22)&lt;'KPI Benchmarks'!$D$9,"Buying intent",IF(N(S22)&lt;'KPI Benchmarks'!$D$10,"Cart",IF(N(T22)&lt;'KPI Benchmarks'!$D$11,"Checkout",IF(X22="","Add economics",IF(N(Y22)&lt;'KPI Benchmarks'!$D$12,"Economics","Healthy – scale")))))))))</f>
        <v/>
      </c>
      <c r="AA22" s="27">
        <f>IF(Z22="","",IF(Z22="Healthy – scale","All stages pass. Add $10–20/day or a new audience; test new creatives beside the main campaign.",IF(Z22="Add economics","Add this client to Client Economics.",IFERROR(INDEX('KPI Benchmarks'!$G$5:$G$12,MATCH(Z22,'KPI Benchmarks'!$A$5:$A$12,0)),""))))</f>
        <v/>
      </c>
      <c r="AB22" s="13" t="n"/>
    </row>
    <row r="23">
      <c r="A23" s="14" t="n"/>
      <c r="B23" s="13" t="n"/>
      <c r="C23" s="34" t="n"/>
      <c r="D23" s="40" t="n"/>
      <c r="E23" s="40" t="n"/>
      <c r="F23" s="40" t="n"/>
      <c r="G23" s="40" t="n"/>
      <c r="H23" s="40" t="n"/>
      <c r="I23" s="40" t="n"/>
      <c r="J23" s="40" t="n"/>
      <c r="K23" s="34" t="n"/>
      <c r="L23" s="36">
        <f>IFERROR(C23/D23*1000,"")</f>
        <v/>
      </c>
      <c r="M23" s="41">
        <f>IFERROR(E23/D23,"")</f>
        <v/>
      </c>
      <c r="N23" s="41">
        <f>IFERROR(F23/D23,"")</f>
        <v/>
      </c>
      <c r="O23" s="42">
        <f>IFERROR(N23/M23,"")</f>
        <v/>
      </c>
      <c r="P23" s="36">
        <f>IFERROR(C23/F23,"")</f>
        <v/>
      </c>
      <c r="Q23" s="42">
        <f>IFERROR(G23/F23,"")</f>
        <v/>
      </c>
      <c r="R23" s="43">
        <f>IFERROR(H23/G23,"")</f>
        <v/>
      </c>
      <c r="S23" s="42">
        <f>IFERROR(I23/H23,"")</f>
        <v/>
      </c>
      <c r="T23" s="42">
        <f>IFERROR(J23/I23,"")</f>
        <v/>
      </c>
      <c r="U23" s="37">
        <f>IFERROR(K23/C23,"")</f>
        <v/>
      </c>
      <c r="V23" s="36">
        <f>IFERROR(C23/J23,"")</f>
        <v/>
      </c>
      <c r="W23" s="36">
        <f>IFERROR(K23/J23,"")</f>
        <v/>
      </c>
      <c r="X23" s="37">
        <f>IFERROR(INDEX('Client Economics'!$J$5:$J$34,MATCH(B23,'Client Economics'!$A$5:$A$34,0)),"")</f>
        <v/>
      </c>
      <c r="Y23" s="37">
        <f>IFERROR(U23/X23,"")</f>
        <v/>
      </c>
      <c r="Z23" s="44">
        <f>IF(D23="","",IF(N(M23)&lt;'KPI Benchmarks'!$D$5,"Attention",IF(N(O23)&lt;'KPI Benchmarks'!$D$6,"Interest",IF(N(Q23)&lt;'KPI Benchmarks'!$D$8,"Page load",IF(N(R23)&lt;'KPI Benchmarks'!$D$9,"Buying intent",IF(N(S23)&lt;'KPI Benchmarks'!$D$10,"Cart",IF(N(T23)&lt;'KPI Benchmarks'!$D$11,"Checkout",IF(X23="","Add economics",IF(N(Y23)&lt;'KPI Benchmarks'!$D$12,"Economics","Healthy – scale")))))))))</f>
        <v/>
      </c>
      <c r="AA23" s="27">
        <f>IF(Z23="","",IF(Z23="Healthy – scale","All stages pass. Add $10–20/day or a new audience; test new creatives beside the main campaign.",IF(Z23="Add economics","Add this client to Client Economics.",IFERROR(INDEX('KPI Benchmarks'!$G$5:$G$12,MATCH(Z23,'KPI Benchmarks'!$A$5:$A$12,0)),""))))</f>
        <v/>
      </c>
      <c r="AB23" s="13" t="n"/>
    </row>
    <row r="24">
      <c r="A24" s="14" t="n"/>
      <c r="B24" s="13" t="n"/>
      <c r="C24" s="34" t="n"/>
      <c r="D24" s="40" t="n"/>
      <c r="E24" s="40" t="n"/>
      <c r="F24" s="40" t="n"/>
      <c r="G24" s="40" t="n"/>
      <c r="H24" s="40" t="n"/>
      <c r="I24" s="40" t="n"/>
      <c r="J24" s="40" t="n"/>
      <c r="K24" s="34" t="n"/>
      <c r="L24" s="36">
        <f>IFERROR(C24/D24*1000,"")</f>
        <v/>
      </c>
      <c r="M24" s="41">
        <f>IFERROR(E24/D24,"")</f>
        <v/>
      </c>
      <c r="N24" s="41">
        <f>IFERROR(F24/D24,"")</f>
        <v/>
      </c>
      <c r="O24" s="42">
        <f>IFERROR(N24/M24,"")</f>
        <v/>
      </c>
      <c r="P24" s="36">
        <f>IFERROR(C24/F24,"")</f>
        <v/>
      </c>
      <c r="Q24" s="42">
        <f>IFERROR(G24/F24,"")</f>
        <v/>
      </c>
      <c r="R24" s="43">
        <f>IFERROR(H24/G24,"")</f>
        <v/>
      </c>
      <c r="S24" s="42">
        <f>IFERROR(I24/H24,"")</f>
        <v/>
      </c>
      <c r="T24" s="42">
        <f>IFERROR(J24/I24,"")</f>
        <v/>
      </c>
      <c r="U24" s="37">
        <f>IFERROR(K24/C24,"")</f>
        <v/>
      </c>
      <c r="V24" s="36">
        <f>IFERROR(C24/J24,"")</f>
        <v/>
      </c>
      <c r="W24" s="36">
        <f>IFERROR(K24/J24,"")</f>
        <v/>
      </c>
      <c r="X24" s="37">
        <f>IFERROR(INDEX('Client Economics'!$J$5:$J$34,MATCH(B24,'Client Economics'!$A$5:$A$34,0)),"")</f>
        <v/>
      </c>
      <c r="Y24" s="37">
        <f>IFERROR(U24/X24,"")</f>
        <v/>
      </c>
      <c r="Z24" s="44">
        <f>IF(D24="","",IF(N(M24)&lt;'KPI Benchmarks'!$D$5,"Attention",IF(N(O24)&lt;'KPI Benchmarks'!$D$6,"Interest",IF(N(Q24)&lt;'KPI Benchmarks'!$D$8,"Page load",IF(N(R24)&lt;'KPI Benchmarks'!$D$9,"Buying intent",IF(N(S24)&lt;'KPI Benchmarks'!$D$10,"Cart",IF(N(T24)&lt;'KPI Benchmarks'!$D$11,"Checkout",IF(X24="","Add economics",IF(N(Y24)&lt;'KPI Benchmarks'!$D$12,"Economics","Healthy – scale")))))))))</f>
        <v/>
      </c>
      <c r="AA24" s="27">
        <f>IF(Z24="","",IF(Z24="Healthy – scale","All stages pass. Add $10–20/day or a new audience; test new creatives beside the main campaign.",IF(Z24="Add economics","Add this client to Client Economics.",IFERROR(INDEX('KPI Benchmarks'!$G$5:$G$12,MATCH(Z24,'KPI Benchmarks'!$A$5:$A$12,0)),""))))</f>
        <v/>
      </c>
      <c r="AB24" s="13" t="n"/>
    </row>
    <row r="25">
      <c r="A25" s="14" t="n"/>
      <c r="B25" s="13" t="n"/>
      <c r="C25" s="34" t="n"/>
      <c r="D25" s="40" t="n"/>
      <c r="E25" s="40" t="n"/>
      <c r="F25" s="40" t="n"/>
      <c r="G25" s="40" t="n"/>
      <c r="H25" s="40" t="n"/>
      <c r="I25" s="40" t="n"/>
      <c r="J25" s="40" t="n"/>
      <c r="K25" s="34" t="n"/>
      <c r="L25" s="36">
        <f>IFERROR(C25/D25*1000,"")</f>
        <v/>
      </c>
      <c r="M25" s="41">
        <f>IFERROR(E25/D25,"")</f>
        <v/>
      </c>
      <c r="N25" s="41">
        <f>IFERROR(F25/D25,"")</f>
        <v/>
      </c>
      <c r="O25" s="42">
        <f>IFERROR(N25/M25,"")</f>
        <v/>
      </c>
      <c r="P25" s="36">
        <f>IFERROR(C25/F25,"")</f>
        <v/>
      </c>
      <c r="Q25" s="42">
        <f>IFERROR(G25/F25,"")</f>
        <v/>
      </c>
      <c r="R25" s="43">
        <f>IFERROR(H25/G25,"")</f>
        <v/>
      </c>
      <c r="S25" s="42">
        <f>IFERROR(I25/H25,"")</f>
        <v/>
      </c>
      <c r="T25" s="42">
        <f>IFERROR(J25/I25,"")</f>
        <v/>
      </c>
      <c r="U25" s="37">
        <f>IFERROR(K25/C25,"")</f>
        <v/>
      </c>
      <c r="V25" s="36">
        <f>IFERROR(C25/J25,"")</f>
        <v/>
      </c>
      <c r="W25" s="36">
        <f>IFERROR(K25/J25,"")</f>
        <v/>
      </c>
      <c r="X25" s="37">
        <f>IFERROR(INDEX('Client Economics'!$J$5:$J$34,MATCH(B25,'Client Economics'!$A$5:$A$34,0)),"")</f>
        <v/>
      </c>
      <c r="Y25" s="37">
        <f>IFERROR(U25/X25,"")</f>
        <v/>
      </c>
      <c r="Z25" s="44">
        <f>IF(D25="","",IF(N(M25)&lt;'KPI Benchmarks'!$D$5,"Attention",IF(N(O25)&lt;'KPI Benchmarks'!$D$6,"Interest",IF(N(Q25)&lt;'KPI Benchmarks'!$D$8,"Page load",IF(N(R25)&lt;'KPI Benchmarks'!$D$9,"Buying intent",IF(N(S25)&lt;'KPI Benchmarks'!$D$10,"Cart",IF(N(T25)&lt;'KPI Benchmarks'!$D$11,"Checkout",IF(X25="","Add economics",IF(N(Y25)&lt;'KPI Benchmarks'!$D$12,"Economics","Healthy – scale")))))))))</f>
        <v/>
      </c>
      <c r="AA25" s="27">
        <f>IF(Z25="","",IF(Z25="Healthy – scale","All stages pass. Add $10–20/day or a new audience; test new creatives beside the main campaign.",IF(Z25="Add economics","Add this client to Client Economics.",IFERROR(INDEX('KPI Benchmarks'!$G$5:$G$12,MATCH(Z25,'KPI Benchmarks'!$A$5:$A$12,0)),""))))</f>
        <v/>
      </c>
      <c r="AB25" s="13" t="n"/>
    </row>
    <row r="26">
      <c r="A26" s="14" t="n"/>
      <c r="B26" s="13" t="n"/>
      <c r="C26" s="34" t="n"/>
      <c r="D26" s="40" t="n"/>
      <c r="E26" s="40" t="n"/>
      <c r="F26" s="40" t="n"/>
      <c r="G26" s="40" t="n"/>
      <c r="H26" s="40" t="n"/>
      <c r="I26" s="40" t="n"/>
      <c r="J26" s="40" t="n"/>
      <c r="K26" s="34" t="n"/>
      <c r="L26" s="36">
        <f>IFERROR(C26/D26*1000,"")</f>
        <v/>
      </c>
      <c r="M26" s="41">
        <f>IFERROR(E26/D26,"")</f>
        <v/>
      </c>
      <c r="N26" s="41">
        <f>IFERROR(F26/D26,"")</f>
        <v/>
      </c>
      <c r="O26" s="42">
        <f>IFERROR(N26/M26,"")</f>
        <v/>
      </c>
      <c r="P26" s="36">
        <f>IFERROR(C26/F26,"")</f>
        <v/>
      </c>
      <c r="Q26" s="42">
        <f>IFERROR(G26/F26,"")</f>
        <v/>
      </c>
      <c r="R26" s="43">
        <f>IFERROR(H26/G26,"")</f>
        <v/>
      </c>
      <c r="S26" s="42">
        <f>IFERROR(I26/H26,"")</f>
        <v/>
      </c>
      <c r="T26" s="42">
        <f>IFERROR(J26/I26,"")</f>
        <v/>
      </c>
      <c r="U26" s="37">
        <f>IFERROR(K26/C26,"")</f>
        <v/>
      </c>
      <c r="V26" s="36">
        <f>IFERROR(C26/J26,"")</f>
        <v/>
      </c>
      <c r="W26" s="36">
        <f>IFERROR(K26/J26,"")</f>
        <v/>
      </c>
      <c r="X26" s="37">
        <f>IFERROR(INDEX('Client Economics'!$J$5:$J$34,MATCH(B26,'Client Economics'!$A$5:$A$34,0)),"")</f>
        <v/>
      </c>
      <c r="Y26" s="37">
        <f>IFERROR(U26/X26,"")</f>
        <v/>
      </c>
      <c r="Z26" s="44">
        <f>IF(D26="","",IF(N(M26)&lt;'KPI Benchmarks'!$D$5,"Attention",IF(N(O26)&lt;'KPI Benchmarks'!$D$6,"Interest",IF(N(Q26)&lt;'KPI Benchmarks'!$D$8,"Page load",IF(N(R26)&lt;'KPI Benchmarks'!$D$9,"Buying intent",IF(N(S26)&lt;'KPI Benchmarks'!$D$10,"Cart",IF(N(T26)&lt;'KPI Benchmarks'!$D$11,"Checkout",IF(X26="","Add economics",IF(N(Y26)&lt;'KPI Benchmarks'!$D$12,"Economics","Healthy – scale")))))))))</f>
        <v/>
      </c>
      <c r="AA26" s="27">
        <f>IF(Z26="","",IF(Z26="Healthy – scale","All stages pass. Add $10–20/day or a new audience; test new creatives beside the main campaign.",IF(Z26="Add economics","Add this client to Client Economics.",IFERROR(INDEX('KPI Benchmarks'!$G$5:$G$12,MATCH(Z26,'KPI Benchmarks'!$A$5:$A$12,0)),""))))</f>
        <v/>
      </c>
      <c r="AB26" s="13" t="n"/>
    </row>
    <row r="27">
      <c r="A27" s="14" t="n"/>
      <c r="B27" s="13" t="n"/>
      <c r="C27" s="34" t="n"/>
      <c r="D27" s="40" t="n"/>
      <c r="E27" s="40" t="n"/>
      <c r="F27" s="40" t="n"/>
      <c r="G27" s="40" t="n"/>
      <c r="H27" s="40" t="n"/>
      <c r="I27" s="40" t="n"/>
      <c r="J27" s="40" t="n"/>
      <c r="K27" s="34" t="n"/>
      <c r="L27" s="36">
        <f>IFERROR(C27/D27*1000,"")</f>
        <v/>
      </c>
      <c r="M27" s="41">
        <f>IFERROR(E27/D27,"")</f>
        <v/>
      </c>
      <c r="N27" s="41">
        <f>IFERROR(F27/D27,"")</f>
        <v/>
      </c>
      <c r="O27" s="42">
        <f>IFERROR(N27/M27,"")</f>
        <v/>
      </c>
      <c r="P27" s="36">
        <f>IFERROR(C27/F27,"")</f>
        <v/>
      </c>
      <c r="Q27" s="42">
        <f>IFERROR(G27/F27,"")</f>
        <v/>
      </c>
      <c r="R27" s="43">
        <f>IFERROR(H27/G27,"")</f>
        <v/>
      </c>
      <c r="S27" s="42">
        <f>IFERROR(I27/H27,"")</f>
        <v/>
      </c>
      <c r="T27" s="42">
        <f>IFERROR(J27/I27,"")</f>
        <v/>
      </c>
      <c r="U27" s="37">
        <f>IFERROR(K27/C27,"")</f>
        <v/>
      </c>
      <c r="V27" s="36">
        <f>IFERROR(C27/J27,"")</f>
        <v/>
      </c>
      <c r="W27" s="36">
        <f>IFERROR(K27/J27,"")</f>
        <v/>
      </c>
      <c r="X27" s="37">
        <f>IFERROR(INDEX('Client Economics'!$J$5:$J$34,MATCH(B27,'Client Economics'!$A$5:$A$34,0)),"")</f>
        <v/>
      </c>
      <c r="Y27" s="37">
        <f>IFERROR(U27/X27,"")</f>
        <v/>
      </c>
      <c r="Z27" s="44">
        <f>IF(D27="","",IF(N(M27)&lt;'KPI Benchmarks'!$D$5,"Attention",IF(N(O27)&lt;'KPI Benchmarks'!$D$6,"Interest",IF(N(Q27)&lt;'KPI Benchmarks'!$D$8,"Page load",IF(N(R27)&lt;'KPI Benchmarks'!$D$9,"Buying intent",IF(N(S27)&lt;'KPI Benchmarks'!$D$10,"Cart",IF(N(T27)&lt;'KPI Benchmarks'!$D$11,"Checkout",IF(X27="","Add economics",IF(N(Y27)&lt;'KPI Benchmarks'!$D$12,"Economics","Healthy – scale")))))))))</f>
        <v/>
      </c>
      <c r="AA27" s="27">
        <f>IF(Z27="","",IF(Z27="Healthy – scale","All stages pass. Add $10–20/day or a new audience; test new creatives beside the main campaign.",IF(Z27="Add economics","Add this client to Client Economics.",IFERROR(INDEX('KPI Benchmarks'!$G$5:$G$12,MATCH(Z27,'KPI Benchmarks'!$A$5:$A$12,0)),""))))</f>
        <v/>
      </c>
      <c r="AB27" s="13" t="n"/>
    </row>
    <row r="28">
      <c r="A28" s="14" t="n"/>
      <c r="B28" s="13" t="n"/>
      <c r="C28" s="34" t="n"/>
      <c r="D28" s="40" t="n"/>
      <c r="E28" s="40" t="n"/>
      <c r="F28" s="40" t="n"/>
      <c r="G28" s="40" t="n"/>
      <c r="H28" s="40" t="n"/>
      <c r="I28" s="40" t="n"/>
      <c r="J28" s="40" t="n"/>
      <c r="K28" s="34" t="n"/>
      <c r="L28" s="36">
        <f>IFERROR(C28/D28*1000,"")</f>
        <v/>
      </c>
      <c r="M28" s="41">
        <f>IFERROR(E28/D28,"")</f>
        <v/>
      </c>
      <c r="N28" s="41">
        <f>IFERROR(F28/D28,"")</f>
        <v/>
      </c>
      <c r="O28" s="42">
        <f>IFERROR(N28/M28,"")</f>
        <v/>
      </c>
      <c r="P28" s="36">
        <f>IFERROR(C28/F28,"")</f>
        <v/>
      </c>
      <c r="Q28" s="42">
        <f>IFERROR(G28/F28,"")</f>
        <v/>
      </c>
      <c r="R28" s="43">
        <f>IFERROR(H28/G28,"")</f>
        <v/>
      </c>
      <c r="S28" s="42">
        <f>IFERROR(I28/H28,"")</f>
        <v/>
      </c>
      <c r="T28" s="42">
        <f>IFERROR(J28/I28,"")</f>
        <v/>
      </c>
      <c r="U28" s="37">
        <f>IFERROR(K28/C28,"")</f>
        <v/>
      </c>
      <c r="V28" s="36">
        <f>IFERROR(C28/J28,"")</f>
        <v/>
      </c>
      <c r="W28" s="36">
        <f>IFERROR(K28/J28,"")</f>
        <v/>
      </c>
      <c r="X28" s="37">
        <f>IFERROR(INDEX('Client Economics'!$J$5:$J$34,MATCH(B28,'Client Economics'!$A$5:$A$34,0)),"")</f>
        <v/>
      </c>
      <c r="Y28" s="37">
        <f>IFERROR(U28/X28,"")</f>
        <v/>
      </c>
      <c r="Z28" s="44">
        <f>IF(D28="","",IF(N(M28)&lt;'KPI Benchmarks'!$D$5,"Attention",IF(N(O28)&lt;'KPI Benchmarks'!$D$6,"Interest",IF(N(Q28)&lt;'KPI Benchmarks'!$D$8,"Page load",IF(N(R28)&lt;'KPI Benchmarks'!$D$9,"Buying intent",IF(N(S28)&lt;'KPI Benchmarks'!$D$10,"Cart",IF(N(T28)&lt;'KPI Benchmarks'!$D$11,"Checkout",IF(X28="","Add economics",IF(N(Y28)&lt;'KPI Benchmarks'!$D$12,"Economics","Healthy – scale")))))))))</f>
        <v/>
      </c>
      <c r="AA28" s="27">
        <f>IF(Z28="","",IF(Z28="Healthy – scale","All stages pass. Add $10–20/day or a new audience; test new creatives beside the main campaign.",IF(Z28="Add economics","Add this client to Client Economics.",IFERROR(INDEX('KPI Benchmarks'!$G$5:$G$12,MATCH(Z28,'KPI Benchmarks'!$A$5:$A$12,0)),""))))</f>
        <v/>
      </c>
      <c r="AB28" s="13" t="n"/>
    </row>
    <row r="29">
      <c r="A29" s="14" t="n"/>
      <c r="B29" s="13" t="n"/>
      <c r="C29" s="34" t="n"/>
      <c r="D29" s="40" t="n"/>
      <c r="E29" s="40" t="n"/>
      <c r="F29" s="40" t="n"/>
      <c r="G29" s="40" t="n"/>
      <c r="H29" s="40" t="n"/>
      <c r="I29" s="40" t="n"/>
      <c r="J29" s="40" t="n"/>
      <c r="K29" s="34" t="n"/>
      <c r="L29" s="36">
        <f>IFERROR(C29/D29*1000,"")</f>
        <v/>
      </c>
      <c r="M29" s="41">
        <f>IFERROR(E29/D29,"")</f>
        <v/>
      </c>
      <c r="N29" s="41">
        <f>IFERROR(F29/D29,"")</f>
        <v/>
      </c>
      <c r="O29" s="42">
        <f>IFERROR(N29/M29,"")</f>
        <v/>
      </c>
      <c r="P29" s="36">
        <f>IFERROR(C29/F29,"")</f>
        <v/>
      </c>
      <c r="Q29" s="42">
        <f>IFERROR(G29/F29,"")</f>
        <v/>
      </c>
      <c r="R29" s="43">
        <f>IFERROR(H29/G29,"")</f>
        <v/>
      </c>
      <c r="S29" s="42">
        <f>IFERROR(I29/H29,"")</f>
        <v/>
      </c>
      <c r="T29" s="42">
        <f>IFERROR(J29/I29,"")</f>
        <v/>
      </c>
      <c r="U29" s="37">
        <f>IFERROR(K29/C29,"")</f>
        <v/>
      </c>
      <c r="V29" s="36">
        <f>IFERROR(C29/J29,"")</f>
        <v/>
      </c>
      <c r="W29" s="36">
        <f>IFERROR(K29/J29,"")</f>
        <v/>
      </c>
      <c r="X29" s="37">
        <f>IFERROR(INDEX('Client Economics'!$J$5:$J$34,MATCH(B29,'Client Economics'!$A$5:$A$34,0)),"")</f>
        <v/>
      </c>
      <c r="Y29" s="37">
        <f>IFERROR(U29/X29,"")</f>
        <v/>
      </c>
      <c r="Z29" s="44">
        <f>IF(D29="","",IF(N(M29)&lt;'KPI Benchmarks'!$D$5,"Attention",IF(N(O29)&lt;'KPI Benchmarks'!$D$6,"Interest",IF(N(Q29)&lt;'KPI Benchmarks'!$D$8,"Page load",IF(N(R29)&lt;'KPI Benchmarks'!$D$9,"Buying intent",IF(N(S29)&lt;'KPI Benchmarks'!$D$10,"Cart",IF(N(T29)&lt;'KPI Benchmarks'!$D$11,"Checkout",IF(X29="","Add economics",IF(N(Y29)&lt;'KPI Benchmarks'!$D$12,"Economics","Healthy – scale")))))))))</f>
        <v/>
      </c>
      <c r="AA29" s="27">
        <f>IF(Z29="","",IF(Z29="Healthy – scale","All stages pass. Add $10–20/day or a new audience; test new creatives beside the main campaign.",IF(Z29="Add economics","Add this client to Client Economics.",IFERROR(INDEX('KPI Benchmarks'!$G$5:$G$12,MATCH(Z29,'KPI Benchmarks'!$A$5:$A$12,0)),""))))</f>
        <v/>
      </c>
      <c r="AB29" s="13" t="n"/>
    </row>
    <row r="30">
      <c r="A30" s="14" t="n"/>
      <c r="B30" s="13" t="n"/>
      <c r="C30" s="34" t="n"/>
      <c r="D30" s="40" t="n"/>
      <c r="E30" s="40" t="n"/>
      <c r="F30" s="40" t="n"/>
      <c r="G30" s="40" t="n"/>
      <c r="H30" s="40" t="n"/>
      <c r="I30" s="40" t="n"/>
      <c r="J30" s="40" t="n"/>
      <c r="K30" s="34" t="n"/>
      <c r="L30" s="36">
        <f>IFERROR(C30/D30*1000,"")</f>
        <v/>
      </c>
      <c r="M30" s="41">
        <f>IFERROR(E30/D30,"")</f>
        <v/>
      </c>
      <c r="N30" s="41">
        <f>IFERROR(F30/D30,"")</f>
        <v/>
      </c>
      <c r="O30" s="42">
        <f>IFERROR(N30/M30,"")</f>
        <v/>
      </c>
      <c r="P30" s="36">
        <f>IFERROR(C30/F30,"")</f>
        <v/>
      </c>
      <c r="Q30" s="42">
        <f>IFERROR(G30/F30,"")</f>
        <v/>
      </c>
      <c r="R30" s="43">
        <f>IFERROR(H30/G30,"")</f>
        <v/>
      </c>
      <c r="S30" s="42">
        <f>IFERROR(I30/H30,"")</f>
        <v/>
      </c>
      <c r="T30" s="42">
        <f>IFERROR(J30/I30,"")</f>
        <v/>
      </c>
      <c r="U30" s="37">
        <f>IFERROR(K30/C30,"")</f>
        <v/>
      </c>
      <c r="V30" s="36">
        <f>IFERROR(C30/J30,"")</f>
        <v/>
      </c>
      <c r="W30" s="36">
        <f>IFERROR(K30/J30,"")</f>
        <v/>
      </c>
      <c r="X30" s="37">
        <f>IFERROR(INDEX('Client Economics'!$J$5:$J$34,MATCH(B30,'Client Economics'!$A$5:$A$34,0)),"")</f>
        <v/>
      </c>
      <c r="Y30" s="37">
        <f>IFERROR(U30/X30,"")</f>
        <v/>
      </c>
      <c r="Z30" s="44">
        <f>IF(D30="","",IF(N(M30)&lt;'KPI Benchmarks'!$D$5,"Attention",IF(N(O30)&lt;'KPI Benchmarks'!$D$6,"Interest",IF(N(Q30)&lt;'KPI Benchmarks'!$D$8,"Page load",IF(N(R30)&lt;'KPI Benchmarks'!$D$9,"Buying intent",IF(N(S30)&lt;'KPI Benchmarks'!$D$10,"Cart",IF(N(T30)&lt;'KPI Benchmarks'!$D$11,"Checkout",IF(X30="","Add economics",IF(N(Y30)&lt;'KPI Benchmarks'!$D$12,"Economics","Healthy – scale")))))))))</f>
        <v/>
      </c>
      <c r="AA30" s="27">
        <f>IF(Z30="","",IF(Z30="Healthy – scale","All stages pass. Add $10–20/day or a new audience; test new creatives beside the main campaign.",IF(Z30="Add economics","Add this client to Client Economics.",IFERROR(INDEX('KPI Benchmarks'!$G$5:$G$12,MATCH(Z30,'KPI Benchmarks'!$A$5:$A$12,0)),""))))</f>
        <v/>
      </c>
      <c r="AB30" s="13" t="n"/>
    </row>
    <row r="31">
      <c r="A31" s="14" t="n"/>
      <c r="B31" s="13" t="n"/>
      <c r="C31" s="34" t="n"/>
      <c r="D31" s="40" t="n"/>
      <c r="E31" s="40" t="n"/>
      <c r="F31" s="40" t="n"/>
      <c r="G31" s="40" t="n"/>
      <c r="H31" s="40" t="n"/>
      <c r="I31" s="40" t="n"/>
      <c r="J31" s="40" t="n"/>
      <c r="K31" s="34" t="n"/>
      <c r="L31" s="36">
        <f>IFERROR(C31/D31*1000,"")</f>
        <v/>
      </c>
      <c r="M31" s="41">
        <f>IFERROR(E31/D31,"")</f>
        <v/>
      </c>
      <c r="N31" s="41">
        <f>IFERROR(F31/D31,"")</f>
        <v/>
      </c>
      <c r="O31" s="42">
        <f>IFERROR(N31/M31,"")</f>
        <v/>
      </c>
      <c r="P31" s="36">
        <f>IFERROR(C31/F31,"")</f>
        <v/>
      </c>
      <c r="Q31" s="42">
        <f>IFERROR(G31/F31,"")</f>
        <v/>
      </c>
      <c r="R31" s="43">
        <f>IFERROR(H31/G31,"")</f>
        <v/>
      </c>
      <c r="S31" s="42">
        <f>IFERROR(I31/H31,"")</f>
        <v/>
      </c>
      <c r="T31" s="42">
        <f>IFERROR(J31/I31,"")</f>
        <v/>
      </c>
      <c r="U31" s="37">
        <f>IFERROR(K31/C31,"")</f>
        <v/>
      </c>
      <c r="V31" s="36">
        <f>IFERROR(C31/J31,"")</f>
        <v/>
      </c>
      <c r="W31" s="36">
        <f>IFERROR(K31/J31,"")</f>
        <v/>
      </c>
      <c r="X31" s="37">
        <f>IFERROR(INDEX('Client Economics'!$J$5:$J$34,MATCH(B31,'Client Economics'!$A$5:$A$34,0)),"")</f>
        <v/>
      </c>
      <c r="Y31" s="37">
        <f>IFERROR(U31/X31,"")</f>
        <v/>
      </c>
      <c r="Z31" s="44">
        <f>IF(D31="","",IF(N(M31)&lt;'KPI Benchmarks'!$D$5,"Attention",IF(N(O31)&lt;'KPI Benchmarks'!$D$6,"Interest",IF(N(Q31)&lt;'KPI Benchmarks'!$D$8,"Page load",IF(N(R31)&lt;'KPI Benchmarks'!$D$9,"Buying intent",IF(N(S31)&lt;'KPI Benchmarks'!$D$10,"Cart",IF(N(T31)&lt;'KPI Benchmarks'!$D$11,"Checkout",IF(X31="","Add economics",IF(N(Y31)&lt;'KPI Benchmarks'!$D$12,"Economics","Healthy – scale")))))))))</f>
        <v/>
      </c>
      <c r="AA31" s="27">
        <f>IF(Z31="","",IF(Z31="Healthy – scale","All stages pass. Add $10–20/day or a new audience; test new creatives beside the main campaign.",IF(Z31="Add economics","Add this client to Client Economics.",IFERROR(INDEX('KPI Benchmarks'!$G$5:$G$12,MATCH(Z31,'KPI Benchmarks'!$A$5:$A$12,0)),""))))</f>
        <v/>
      </c>
      <c r="AB31" s="13" t="n"/>
    </row>
    <row r="32">
      <c r="A32" s="14" t="n"/>
      <c r="B32" s="13" t="n"/>
      <c r="C32" s="34" t="n"/>
      <c r="D32" s="40" t="n"/>
      <c r="E32" s="40" t="n"/>
      <c r="F32" s="40" t="n"/>
      <c r="G32" s="40" t="n"/>
      <c r="H32" s="40" t="n"/>
      <c r="I32" s="40" t="n"/>
      <c r="J32" s="40" t="n"/>
      <c r="K32" s="34" t="n"/>
      <c r="L32" s="36">
        <f>IFERROR(C32/D32*1000,"")</f>
        <v/>
      </c>
      <c r="M32" s="41">
        <f>IFERROR(E32/D32,"")</f>
        <v/>
      </c>
      <c r="N32" s="41">
        <f>IFERROR(F32/D32,"")</f>
        <v/>
      </c>
      <c r="O32" s="42">
        <f>IFERROR(N32/M32,"")</f>
        <v/>
      </c>
      <c r="P32" s="36">
        <f>IFERROR(C32/F32,"")</f>
        <v/>
      </c>
      <c r="Q32" s="42">
        <f>IFERROR(G32/F32,"")</f>
        <v/>
      </c>
      <c r="R32" s="43">
        <f>IFERROR(H32/G32,"")</f>
        <v/>
      </c>
      <c r="S32" s="42">
        <f>IFERROR(I32/H32,"")</f>
        <v/>
      </c>
      <c r="T32" s="42">
        <f>IFERROR(J32/I32,"")</f>
        <v/>
      </c>
      <c r="U32" s="37">
        <f>IFERROR(K32/C32,"")</f>
        <v/>
      </c>
      <c r="V32" s="36">
        <f>IFERROR(C32/J32,"")</f>
        <v/>
      </c>
      <c r="W32" s="36">
        <f>IFERROR(K32/J32,"")</f>
        <v/>
      </c>
      <c r="X32" s="37">
        <f>IFERROR(INDEX('Client Economics'!$J$5:$J$34,MATCH(B32,'Client Economics'!$A$5:$A$34,0)),"")</f>
        <v/>
      </c>
      <c r="Y32" s="37">
        <f>IFERROR(U32/X32,"")</f>
        <v/>
      </c>
      <c r="Z32" s="44">
        <f>IF(D32="","",IF(N(M32)&lt;'KPI Benchmarks'!$D$5,"Attention",IF(N(O32)&lt;'KPI Benchmarks'!$D$6,"Interest",IF(N(Q32)&lt;'KPI Benchmarks'!$D$8,"Page load",IF(N(R32)&lt;'KPI Benchmarks'!$D$9,"Buying intent",IF(N(S32)&lt;'KPI Benchmarks'!$D$10,"Cart",IF(N(T32)&lt;'KPI Benchmarks'!$D$11,"Checkout",IF(X32="","Add economics",IF(N(Y32)&lt;'KPI Benchmarks'!$D$12,"Economics","Healthy – scale")))))))))</f>
        <v/>
      </c>
      <c r="AA32" s="27">
        <f>IF(Z32="","",IF(Z32="Healthy – scale","All stages pass. Add $10–20/day or a new audience; test new creatives beside the main campaign.",IF(Z32="Add economics","Add this client to Client Economics.",IFERROR(INDEX('KPI Benchmarks'!$G$5:$G$12,MATCH(Z32,'KPI Benchmarks'!$A$5:$A$12,0)),""))))</f>
        <v/>
      </c>
      <c r="AB32" s="13" t="n"/>
    </row>
    <row r="33">
      <c r="A33" s="14" t="n"/>
      <c r="B33" s="13" t="n"/>
      <c r="C33" s="34" t="n"/>
      <c r="D33" s="40" t="n"/>
      <c r="E33" s="40" t="n"/>
      <c r="F33" s="40" t="n"/>
      <c r="G33" s="40" t="n"/>
      <c r="H33" s="40" t="n"/>
      <c r="I33" s="40" t="n"/>
      <c r="J33" s="40" t="n"/>
      <c r="K33" s="34" t="n"/>
      <c r="L33" s="36">
        <f>IFERROR(C33/D33*1000,"")</f>
        <v/>
      </c>
      <c r="M33" s="41">
        <f>IFERROR(E33/D33,"")</f>
        <v/>
      </c>
      <c r="N33" s="41">
        <f>IFERROR(F33/D33,"")</f>
        <v/>
      </c>
      <c r="O33" s="42">
        <f>IFERROR(N33/M33,"")</f>
        <v/>
      </c>
      <c r="P33" s="36">
        <f>IFERROR(C33/F33,"")</f>
        <v/>
      </c>
      <c r="Q33" s="42">
        <f>IFERROR(G33/F33,"")</f>
        <v/>
      </c>
      <c r="R33" s="43">
        <f>IFERROR(H33/G33,"")</f>
        <v/>
      </c>
      <c r="S33" s="42">
        <f>IFERROR(I33/H33,"")</f>
        <v/>
      </c>
      <c r="T33" s="42">
        <f>IFERROR(J33/I33,"")</f>
        <v/>
      </c>
      <c r="U33" s="37">
        <f>IFERROR(K33/C33,"")</f>
        <v/>
      </c>
      <c r="V33" s="36">
        <f>IFERROR(C33/J33,"")</f>
        <v/>
      </c>
      <c r="W33" s="36">
        <f>IFERROR(K33/J33,"")</f>
        <v/>
      </c>
      <c r="X33" s="37">
        <f>IFERROR(INDEX('Client Economics'!$J$5:$J$34,MATCH(B33,'Client Economics'!$A$5:$A$34,0)),"")</f>
        <v/>
      </c>
      <c r="Y33" s="37">
        <f>IFERROR(U33/X33,"")</f>
        <v/>
      </c>
      <c r="Z33" s="44">
        <f>IF(D33="","",IF(N(M33)&lt;'KPI Benchmarks'!$D$5,"Attention",IF(N(O33)&lt;'KPI Benchmarks'!$D$6,"Interest",IF(N(Q33)&lt;'KPI Benchmarks'!$D$8,"Page load",IF(N(R33)&lt;'KPI Benchmarks'!$D$9,"Buying intent",IF(N(S33)&lt;'KPI Benchmarks'!$D$10,"Cart",IF(N(T33)&lt;'KPI Benchmarks'!$D$11,"Checkout",IF(X33="","Add economics",IF(N(Y33)&lt;'KPI Benchmarks'!$D$12,"Economics","Healthy – scale")))))))))</f>
        <v/>
      </c>
      <c r="AA33" s="27">
        <f>IF(Z33="","",IF(Z33="Healthy – scale","All stages pass. Add $10–20/day or a new audience; test new creatives beside the main campaign.",IF(Z33="Add economics","Add this client to Client Economics.",IFERROR(INDEX('KPI Benchmarks'!$G$5:$G$12,MATCH(Z33,'KPI Benchmarks'!$A$5:$A$12,0)),""))))</f>
        <v/>
      </c>
      <c r="AB33" s="13" t="n"/>
    </row>
    <row r="34">
      <c r="A34" s="14" t="n"/>
      <c r="B34" s="13" t="n"/>
      <c r="C34" s="34" t="n"/>
      <c r="D34" s="40" t="n"/>
      <c r="E34" s="40" t="n"/>
      <c r="F34" s="40" t="n"/>
      <c r="G34" s="40" t="n"/>
      <c r="H34" s="40" t="n"/>
      <c r="I34" s="40" t="n"/>
      <c r="J34" s="40" t="n"/>
      <c r="K34" s="34" t="n"/>
      <c r="L34" s="36">
        <f>IFERROR(C34/D34*1000,"")</f>
        <v/>
      </c>
      <c r="M34" s="41">
        <f>IFERROR(E34/D34,"")</f>
        <v/>
      </c>
      <c r="N34" s="41">
        <f>IFERROR(F34/D34,"")</f>
        <v/>
      </c>
      <c r="O34" s="42">
        <f>IFERROR(N34/M34,"")</f>
        <v/>
      </c>
      <c r="P34" s="36">
        <f>IFERROR(C34/F34,"")</f>
        <v/>
      </c>
      <c r="Q34" s="42">
        <f>IFERROR(G34/F34,"")</f>
        <v/>
      </c>
      <c r="R34" s="43">
        <f>IFERROR(H34/G34,"")</f>
        <v/>
      </c>
      <c r="S34" s="42">
        <f>IFERROR(I34/H34,"")</f>
        <v/>
      </c>
      <c r="T34" s="42">
        <f>IFERROR(J34/I34,"")</f>
        <v/>
      </c>
      <c r="U34" s="37">
        <f>IFERROR(K34/C34,"")</f>
        <v/>
      </c>
      <c r="V34" s="36">
        <f>IFERROR(C34/J34,"")</f>
        <v/>
      </c>
      <c r="W34" s="36">
        <f>IFERROR(K34/J34,"")</f>
        <v/>
      </c>
      <c r="X34" s="37">
        <f>IFERROR(INDEX('Client Economics'!$J$5:$J$34,MATCH(B34,'Client Economics'!$A$5:$A$34,0)),"")</f>
        <v/>
      </c>
      <c r="Y34" s="37">
        <f>IFERROR(U34/X34,"")</f>
        <v/>
      </c>
      <c r="Z34" s="44">
        <f>IF(D34="","",IF(N(M34)&lt;'KPI Benchmarks'!$D$5,"Attention",IF(N(O34)&lt;'KPI Benchmarks'!$D$6,"Interest",IF(N(Q34)&lt;'KPI Benchmarks'!$D$8,"Page load",IF(N(R34)&lt;'KPI Benchmarks'!$D$9,"Buying intent",IF(N(S34)&lt;'KPI Benchmarks'!$D$10,"Cart",IF(N(T34)&lt;'KPI Benchmarks'!$D$11,"Checkout",IF(X34="","Add economics",IF(N(Y34)&lt;'KPI Benchmarks'!$D$12,"Economics","Healthy – scale")))))))))</f>
        <v/>
      </c>
      <c r="AA34" s="27">
        <f>IF(Z34="","",IF(Z34="Healthy – scale","All stages pass. Add $10–20/day or a new audience; test new creatives beside the main campaign.",IF(Z34="Add economics","Add this client to Client Economics.",IFERROR(INDEX('KPI Benchmarks'!$G$5:$G$12,MATCH(Z34,'KPI Benchmarks'!$A$5:$A$12,0)),""))))</f>
        <v/>
      </c>
      <c r="AB34" s="13" t="n"/>
    </row>
    <row r="35">
      <c r="A35" s="14" t="n"/>
      <c r="B35" s="13" t="n"/>
      <c r="C35" s="34" t="n"/>
      <c r="D35" s="40" t="n"/>
      <c r="E35" s="40" t="n"/>
      <c r="F35" s="40" t="n"/>
      <c r="G35" s="40" t="n"/>
      <c r="H35" s="40" t="n"/>
      <c r="I35" s="40" t="n"/>
      <c r="J35" s="40" t="n"/>
      <c r="K35" s="34" t="n"/>
      <c r="L35" s="36">
        <f>IFERROR(C35/D35*1000,"")</f>
        <v/>
      </c>
      <c r="M35" s="41">
        <f>IFERROR(E35/D35,"")</f>
        <v/>
      </c>
      <c r="N35" s="41">
        <f>IFERROR(F35/D35,"")</f>
        <v/>
      </c>
      <c r="O35" s="42">
        <f>IFERROR(N35/M35,"")</f>
        <v/>
      </c>
      <c r="P35" s="36">
        <f>IFERROR(C35/F35,"")</f>
        <v/>
      </c>
      <c r="Q35" s="42">
        <f>IFERROR(G35/F35,"")</f>
        <v/>
      </c>
      <c r="R35" s="43">
        <f>IFERROR(H35/G35,"")</f>
        <v/>
      </c>
      <c r="S35" s="42">
        <f>IFERROR(I35/H35,"")</f>
        <v/>
      </c>
      <c r="T35" s="42">
        <f>IFERROR(J35/I35,"")</f>
        <v/>
      </c>
      <c r="U35" s="37">
        <f>IFERROR(K35/C35,"")</f>
        <v/>
      </c>
      <c r="V35" s="36">
        <f>IFERROR(C35/J35,"")</f>
        <v/>
      </c>
      <c r="W35" s="36">
        <f>IFERROR(K35/J35,"")</f>
        <v/>
      </c>
      <c r="X35" s="37">
        <f>IFERROR(INDEX('Client Economics'!$J$5:$J$34,MATCH(B35,'Client Economics'!$A$5:$A$34,0)),"")</f>
        <v/>
      </c>
      <c r="Y35" s="37">
        <f>IFERROR(U35/X35,"")</f>
        <v/>
      </c>
      <c r="Z35" s="44">
        <f>IF(D35="","",IF(N(M35)&lt;'KPI Benchmarks'!$D$5,"Attention",IF(N(O35)&lt;'KPI Benchmarks'!$D$6,"Interest",IF(N(Q35)&lt;'KPI Benchmarks'!$D$8,"Page load",IF(N(R35)&lt;'KPI Benchmarks'!$D$9,"Buying intent",IF(N(S35)&lt;'KPI Benchmarks'!$D$10,"Cart",IF(N(T35)&lt;'KPI Benchmarks'!$D$11,"Checkout",IF(X35="","Add economics",IF(N(Y35)&lt;'KPI Benchmarks'!$D$12,"Economics","Healthy – scale")))))))))</f>
        <v/>
      </c>
      <c r="AA35" s="27">
        <f>IF(Z35="","",IF(Z35="Healthy – scale","All stages pass. Add $10–20/day or a new audience; test new creatives beside the main campaign.",IF(Z35="Add economics","Add this client to Client Economics.",IFERROR(INDEX('KPI Benchmarks'!$G$5:$G$12,MATCH(Z35,'KPI Benchmarks'!$A$5:$A$12,0)),""))))</f>
        <v/>
      </c>
      <c r="AB35" s="13" t="n"/>
    </row>
    <row r="36">
      <c r="A36" s="14" t="n"/>
      <c r="B36" s="13" t="n"/>
      <c r="C36" s="34" t="n"/>
      <c r="D36" s="40" t="n"/>
      <c r="E36" s="40" t="n"/>
      <c r="F36" s="40" t="n"/>
      <c r="G36" s="40" t="n"/>
      <c r="H36" s="40" t="n"/>
      <c r="I36" s="40" t="n"/>
      <c r="J36" s="40" t="n"/>
      <c r="K36" s="34" t="n"/>
      <c r="L36" s="36">
        <f>IFERROR(C36/D36*1000,"")</f>
        <v/>
      </c>
      <c r="M36" s="41">
        <f>IFERROR(E36/D36,"")</f>
        <v/>
      </c>
      <c r="N36" s="41">
        <f>IFERROR(F36/D36,"")</f>
        <v/>
      </c>
      <c r="O36" s="42">
        <f>IFERROR(N36/M36,"")</f>
        <v/>
      </c>
      <c r="P36" s="36">
        <f>IFERROR(C36/F36,"")</f>
        <v/>
      </c>
      <c r="Q36" s="42">
        <f>IFERROR(G36/F36,"")</f>
        <v/>
      </c>
      <c r="R36" s="43">
        <f>IFERROR(H36/G36,"")</f>
        <v/>
      </c>
      <c r="S36" s="42">
        <f>IFERROR(I36/H36,"")</f>
        <v/>
      </c>
      <c r="T36" s="42">
        <f>IFERROR(J36/I36,"")</f>
        <v/>
      </c>
      <c r="U36" s="37">
        <f>IFERROR(K36/C36,"")</f>
        <v/>
      </c>
      <c r="V36" s="36">
        <f>IFERROR(C36/J36,"")</f>
        <v/>
      </c>
      <c r="W36" s="36">
        <f>IFERROR(K36/J36,"")</f>
        <v/>
      </c>
      <c r="X36" s="37">
        <f>IFERROR(INDEX('Client Economics'!$J$5:$J$34,MATCH(B36,'Client Economics'!$A$5:$A$34,0)),"")</f>
        <v/>
      </c>
      <c r="Y36" s="37">
        <f>IFERROR(U36/X36,"")</f>
        <v/>
      </c>
      <c r="Z36" s="44">
        <f>IF(D36="","",IF(N(M36)&lt;'KPI Benchmarks'!$D$5,"Attention",IF(N(O36)&lt;'KPI Benchmarks'!$D$6,"Interest",IF(N(Q36)&lt;'KPI Benchmarks'!$D$8,"Page load",IF(N(R36)&lt;'KPI Benchmarks'!$D$9,"Buying intent",IF(N(S36)&lt;'KPI Benchmarks'!$D$10,"Cart",IF(N(T36)&lt;'KPI Benchmarks'!$D$11,"Checkout",IF(X36="","Add economics",IF(N(Y36)&lt;'KPI Benchmarks'!$D$12,"Economics","Healthy – scale")))))))))</f>
        <v/>
      </c>
      <c r="AA36" s="27">
        <f>IF(Z36="","",IF(Z36="Healthy – scale","All stages pass. Add $10–20/day or a new audience; test new creatives beside the main campaign.",IF(Z36="Add economics","Add this client to Client Economics.",IFERROR(INDEX('KPI Benchmarks'!$G$5:$G$12,MATCH(Z36,'KPI Benchmarks'!$A$5:$A$12,0)),""))))</f>
        <v/>
      </c>
      <c r="AB36" s="13" t="n"/>
    </row>
    <row r="37">
      <c r="A37" s="14" t="n"/>
      <c r="B37" s="13" t="n"/>
      <c r="C37" s="34" t="n"/>
      <c r="D37" s="40" t="n"/>
      <c r="E37" s="40" t="n"/>
      <c r="F37" s="40" t="n"/>
      <c r="G37" s="40" t="n"/>
      <c r="H37" s="40" t="n"/>
      <c r="I37" s="40" t="n"/>
      <c r="J37" s="40" t="n"/>
      <c r="K37" s="34" t="n"/>
      <c r="L37" s="36">
        <f>IFERROR(C37/D37*1000,"")</f>
        <v/>
      </c>
      <c r="M37" s="41">
        <f>IFERROR(E37/D37,"")</f>
        <v/>
      </c>
      <c r="N37" s="41">
        <f>IFERROR(F37/D37,"")</f>
        <v/>
      </c>
      <c r="O37" s="42">
        <f>IFERROR(N37/M37,"")</f>
        <v/>
      </c>
      <c r="P37" s="36">
        <f>IFERROR(C37/F37,"")</f>
        <v/>
      </c>
      <c r="Q37" s="42">
        <f>IFERROR(G37/F37,"")</f>
        <v/>
      </c>
      <c r="R37" s="43">
        <f>IFERROR(H37/G37,"")</f>
        <v/>
      </c>
      <c r="S37" s="42">
        <f>IFERROR(I37/H37,"")</f>
        <v/>
      </c>
      <c r="T37" s="42">
        <f>IFERROR(J37/I37,"")</f>
        <v/>
      </c>
      <c r="U37" s="37">
        <f>IFERROR(K37/C37,"")</f>
        <v/>
      </c>
      <c r="V37" s="36">
        <f>IFERROR(C37/J37,"")</f>
        <v/>
      </c>
      <c r="W37" s="36">
        <f>IFERROR(K37/J37,"")</f>
        <v/>
      </c>
      <c r="X37" s="37">
        <f>IFERROR(INDEX('Client Economics'!$J$5:$J$34,MATCH(B37,'Client Economics'!$A$5:$A$34,0)),"")</f>
        <v/>
      </c>
      <c r="Y37" s="37">
        <f>IFERROR(U37/X37,"")</f>
        <v/>
      </c>
      <c r="Z37" s="44">
        <f>IF(D37="","",IF(N(M37)&lt;'KPI Benchmarks'!$D$5,"Attention",IF(N(O37)&lt;'KPI Benchmarks'!$D$6,"Interest",IF(N(Q37)&lt;'KPI Benchmarks'!$D$8,"Page load",IF(N(R37)&lt;'KPI Benchmarks'!$D$9,"Buying intent",IF(N(S37)&lt;'KPI Benchmarks'!$D$10,"Cart",IF(N(T37)&lt;'KPI Benchmarks'!$D$11,"Checkout",IF(X37="","Add economics",IF(N(Y37)&lt;'KPI Benchmarks'!$D$12,"Economics","Healthy – scale")))))))))</f>
        <v/>
      </c>
      <c r="AA37" s="27">
        <f>IF(Z37="","",IF(Z37="Healthy – scale","All stages pass. Add $10–20/day or a new audience; test new creatives beside the main campaign.",IF(Z37="Add economics","Add this client to Client Economics.",IFERROR(INDEX('KPI Benchmarks'!$G$5:$G$12,MATCH(Z37,'KPI Benchmarks'!$A$5:$A$12,0)),""))))</f>
        <v/>
      </c>
      <c r="AB37" s="13" t="n"/>
    </row>
    <row r="38">
      <c r="A38" s="14" t="n"/>
      <c r="B38" s="13" t="n"/>
      <c r="C38" s="34" t="n"/>
      <c r="D38" s="40" t="n"/>
      <c r="E38" s="40" t="n"/>
      <c r="F38" s="40" t="n"/>
      <c r="G38" s="40" t="n"/>
      <c r="H38" s="40" t="n"/>
      <c r="I38" s="40" t="n"/>
      <c r="J38" s="40" t="n"/>
      <c r="K38" s="34" t="n"/>
      <c r="L38" s="36">
        <f>IFERROR(C38/D38*1000,"")</f>
        <v/>
      </c>
      <c r="M38" s="41">
        <f>IFERROR(E38/D38,"")</f>
        <v/>
      </c>
      <c r="N38" s="41">
        <f>IFERROR(F38/D38,"")</f>
        <v/>
      </c>
      <c r="O38" s="42">
        <f>IFERROR(N38/M38,"")</f>
        <v/>
      </c>
      <c r="P38" s="36">
        <f>IFERROR(C38/F38,"")</f>
        <v/>
      </c>
      <c r="Q38" s="42">
        <f>IFERROR(G38/F38,"")</f>
        <v/>
      </c>
      <c r="R38" s="43">
        <f>IFERROR(H38/G38,"")</f>
        <v/>
      </c>
      <c r="S38" s="42">
        <f>IFERROR(I38/H38,"")</f>
        <v/>
      </c>
      <c r="T38" s="42">
        <f>IFERROR(J38/I38,"")</f>
        <v/>
      </c>
      <c r="U38" s="37">
        <f>IFERROR(K38/C38,"")</f>
        <v/>
      </c>
      <c r="V38" s="36">
        <f>IFERROR(C38/J38,"")</f>
        <v/>
      </c>
      <c r="W38" s="36">
        <f>IFERROR(K38/J38,"")</f>
        <v/>
      </c>
      <c r="X38" s="37">
        <f>IFERROR(INDEX('Client Economics'!$J$5:$J$34,MATCH(B38,'Client Economics'!$A$5:$A$34,0)),"")</f>
        <v/>
      </c>
      <c r="Y38" s="37">
        <f>IFERROR(U38/X38,"")</f>
        <v/>
      </c>
      <c r="Z38" s="44">
        <f>IF(D38="","",IF(N(M38)&lt;'KPI Benchmarks'!$D$5,"Attention",IF(N(O38)&lt;'KPI Benchmarks'!$D$6,"Interest",IF(N(Q38)&lt;'KPI Benchmarks'!$D$8,"Page load",IF(N(R38)&lt;'KPI Benchmarks'!$D$9,"Buying intent",IF(N(S38)&lt;'KPI Benchmarks'!$D$10,"Cart",IF(N(T38)&lt;'KPI Benchmarks'!$D$11,"Checkout",IF(X38="","Add economics",IF(N(Y38)&lt;'KPI Benchmarks'!$D$12,"Economics","Healthy – scale")))))))))</f>
        <v/>
      </c>
      <c r="AA38" s="27">
        <f>IF(Z38="","",IF(Z38="Healthy – scale","All stages pass. Add $10–20/day or a new audience; test new creatives beside the main campaign.",IF(Z38="Add economics","Add this client to Client Economics.",IFERROR(INDEX('KPI Benchmarks'!$G$5:$G$12,MATCH(Z38,'KPI Benchmarks'!$A$5:$A$12,0)),""))))</f>
        <v/>
      </c>
      <c r="AB38" s="13" t="n"/>
    </row>
    <row r="39">
      <c r="A39" s="14" t="n"/>
      <c r="B39" s="13" t="n"/>
      <c r="C39" s="34" t="n"/>
      <c r="D39" s="40" t="n"/>
      <c r="E39" s="40" t="n"/>
      <c r="F39" s="40" t="n"/>
      <c r="G39" s="40" t="n"/>
      <c r="H39" s="40" t="n"/>
      <c r="I39" s="40" t="n"/>
      <c r="J39" s="40" t="n"/>
      <c r="K39" s="34" t="n"/>
      <c r="L39" s="36">
        <f>IFERROR(C39/D39*1000,"")</f>
        <v/>
      </c>
      <c r="M39" s="41">
        <f>IFERROR(E39/D39,"")</f>
        <v/>
      </c>
      <c r="N39" s="41">
        <f>IFERROR(F39/D39,"")</f>
        <v/>
      </c>
      <c r="O39" s="42">
        <f>IFERROR(N39/M39,"")</f>
        <v/>
      </c>
      <c r="P39" s="36">
        <f>IFERROR(C39/F39,"")</f>
        <v/>
      </c>
      <c r="Q39" s="42">
        <f>IFERROR(G39/F39,"")</f>
        <v/>
      </c>
      <c r="R39" s="43">
        <f>IFERROR(H39/G39,"")</f>
        <v/>
      </c>
      <c r="S39" s="42">
        <f>IFERROR(I39/H39,"")</f>
        <v/>
      </c>
      <c r="T39" s="42">
        <f>IFERROR(J39/I39,"")</f>
        <v/>
      </c>
      <c r="U39" s="37">
        <f>IFERROR(K39/C39,"")</f>
        <v/>
      </c>
      <c r="V39" s="36">
        <f>IFERROR(C39/J39,"")</f>
        <v/>
      </c>
      <c r="W39" s="36">
        <f>IFERROR(K39/J39,"")</f>
        <v/>
      </c>
      <c r="X39" s="37">
        <f>IFERROR(INDEX('Client Economics'!$J$5:$J$34,MATCH(B39,'Client Economics'!$A$5:$A$34,0)),"")</f>
        <v/>
      </c>
      <c r="Y39" s="37">
        <f>IFERROR(U39/X39,"")</f>
        <v/>
      </c>
      <c r="Z39" s="44">
        <f>IF(D39="","",IF(N(M39)&lt;'KPI Benchmarks'!$D$5,"Attention",IF(N(O39)&lt;'KPI Benchmarks'!$D$6,"Interest",IF(N(Q39)&lt;'KPI Benchmarks'!$D$8,"Page load",IF(N(R39)&lt;'KPI Benchmarks'!$D$9,"Buying intent",IF(N(S39)&lt;'KPI Benchmarks'!$D$10,"Cart",IF(N(T39)&lt;'KPI Benchmarks'!$D$11,"Checkout",IF(X39="","Add economics",IF(N(Y39)&lt;'KPI Benchmarks'!$D$12,"Economics","Healthy – scale")))))))))</f>
        <v/>
      </c>
      <c r="AA39" s="27">
        <f>IF(Z39="","",IF(Z39="Healthy – scale","All stages pass. Add $10–20/day or a new audience; test new creatives beside the main campaign.",IF(Z39="Add economics","Add this client to Client Economics.",IFERROR(INDEX('KPI Benchmarks'!$G$5:$G$12,MATCH(Z39,'KPI Benchmarks'!$A$5:$A$12,0)),""))))</f>
        <v/>
      </c>
      <c r="AB39" s="13" t="n"/>
    </row>
    <row r="40">
      <c r="A40" s="14" t="n"/>
      <c r="B40" s="13" t="n"/>
      <c r="C40" s="34" t="n"/>
      <c r="D40" s="40" t="n"/>
      <c r="E40" s="40" t="n"/>
      <c r="F40" s="40" t="n"/>
      <c r="G40" s="40" t="n"/>
      <c r="H40" s="40" t="n"/>
      <c r="I40" s="40" t="n"/>
      <c r="J40" s="40" t="n"/>
      <c r="K40" s="34" t="n"/>
      <c r="L40" s="36">
        <f>IFERROR(C40/D40*1000,"")</f>
        <v/>
      </c>
      <c r="M40" s="41">
        <f>IFERROR(E40/D40,"")</f>
        <v/>
      </c>
      <c r="N40" s="41">
        <f>IFERROR(F40/D40,"")</f>
        <v/>
      </c>
      <c r="O40" s="42">
        <f>IFERROR(N40/M40,"")</f>
        <v/>
      </c>
      <c r="P40" s="36">
        <f>IFERROR(C40/F40,"")</f>
        <v/>
      </c>
      <c r="Q40" s="42">
        <f>IFERROR(G40/F40,"")</f>
        <v/>
      </c>
      <c r="R40" s="43">
        <f>IFERROR(H40/G40,"")</f>
        <v/>
      </c>
      <c r="S40" s="42">
        <f>IFERROR(I40/H40,"")</f>
        <v/>
      </c>
      <c r="T40" s="42">
        <f>IFERROR(J40/I40,"")</f>
        <v/>
      </c>
      <c r="U40" s="37">
        <f>IFERROR(K40/C40,"")</f>
        <v/>
      </c>
      <c r="V40" s="36">
        <f>IFERROR(C40/J40,"")</f>
        <v/>
      </c>
      <c r="W40" s="36">
        <f>IFERROR(K40/J40,"")</f>
        <v/>
      </c>
      <c r="X40" s="37">
        <f>IFERROR(INDEX('Client Economics'!$J$5:$J$34,MATCH(B40,'Client Economics'!$A$5:$A$34,0)),"")</f>
        <v/>
      </c>
      <c r="Y40" s="37">
        <f>IFERROR(U40/X40,"")</f>
        <v/>
      </c>
      <c r="Z40" s="44">
        <f>IF(D40="","",IF(N(M40)&lt;'KPI Benchmarks'!$D$5,"Attention",IF(N(O40)&lt;'KPI Benchmarks'!$D$6,"Interest",IF(N(Q40)&lt;'KPI Benchmarks'!$D$8,"Page load",IF(N(R40)&lt;'KPI Benchmarks'!$D$9,"Buying intent",IF(N(S40)&lt;'KPI Benchmarks'!$D$10,"Cart",IF(N(T40)&lt;'KPI Benchmarks'!$D$11,"Checkout",IF(X40="","Add economics",IF(N(Y40)&lt;'KPI Benchmarks'!$D$12,"Economics","Healthy – scale")))))))))</f>
        <v/>
      </c>
      <c r="AA40" s="27">
        <f>IF(Z40="","",IF(Z40="Healthy – scale","All stages pass. Add $10–20/day or a new audience; test new creatives beside the main campaign.",IF(Z40="Add economics","Add this client to Client Economics.",IFERROR(INDEX('KPI Benchmarks'!$G$5:$G$12,MATCH(Z40,'KPI Benchmarks'!$A$5:$A$12,0)),""))))</f>
        <v/>
      </c>
      <c r="AB40" s="13" t="n"/>
    </row>
    <row r="41">
      <c r="A41" s="14" t="n"/>
      <c r="B41" s="13" t="n"/>
      <c r="C41" s="34" t="n"/>
      <c r="D41" s="40" t="n"/>
      <c r="E41" s="40" t="n"/>
      <c r="F41" s="40" t="n"/>
      <c r="G41" s="40" t="n"/>
      <c r="H41" s="40" t="n"/>
      <c r="I41" s="40" t="n"/>
      <c r="J41" s="40" t="n"/>
      <c r="K41" s="34" t="n"/>
      <c r="L41" s="36">
        <f>IFERROR(C41/D41*1000,"")</f>
        <v/>
      </c>
      <c r="M41" s="41">
        <f>IFERROR(E41/D41,"")</f>
        <v/>
      </c>
      <c r="N41" s="41">
        <f>IFERROR(F41/D41,"")</f>
        <v/>
      </c>
      <c r="O41" s="42">
        <f>IFERROR(N41/M41,"")</f>
        <v/>
      </c>
      <c r="P41" s="36">
        <f>IFERROR(C41/F41,"")</f>
        <v/>
      </c>
      <c r="Q41" s="42">
        <f>IFERROR(G41/F41,"")</f>
        <v/>
      </c>
      <c r="R41" s="43">
        <f>IFERROR(H41/G41,"")</f>
        <v/>
      </c>
      <c r="S41" s="42">
        <f>IFERROR(I41/H41,"")</f>
        <v/>
      </c>
      <c r="T41" s="42">
        <f>IFERROR(J41/I41,"")</f>
        <v/>
      </c>
      <c r="U41" s="37">
        <f>IFERROR(K41/C41,"")</f>
        <v/>
      </c>
      <c r="V41" s="36">
        <f>IFERROR(C41/J41,"")</f>
        <v/>
      </c>
      <c r="W41" s="36">
        <f>IFERROR(K41/J41,"")</f>
        <v/>
      </c>
      <c r="X41" s="37">
        <f>IFERROR(INDEX('Client Economics'!$J$5:$J$34,MATCH(B41,'Client Economics'!$A$5:$A$34,0)),"")</f>
        <v/>
      </c>
      <c r="Y41" s="37">
        <f>IFERROR(U41/X41,"")</f>
        <v/>
      </c>
      <c r="Z41" s="44">
        <f>IF(D41="","",IF(N(M41)&lt;'KPI Benchmarks'!$D$5,"Attention",IF(N(O41)&lt;'KPI Benchmarks'!$D$6,"Interest",IF(N(Q41)&lt;'KPI Benchmarks'!$D$8,"Page load",IF(N(R41)&lt;'KPI Benchmarks'!$D$9,"Buying intent",IF(N(S41)&lt;'KPI Benchmarks'!$D$10,"Cart",IF(N(T41)&lt;'KPI Benchmarks'!$D$11,"Checkout",IF(X41="","Add economics",IF(N(Y41)&lt;'KPI Benchmarks'!$D$12,"Economics","Healthy – scale")))))))))</f>
        <v/>
      </c>
      <c r="AA41" s="27">
        <f>IF(Z41="","",IF(Z41="Healthy – scale","All stages pass. Add $10–20/day or a new audience; test new creatives beside the main campaign.",IF(Z41="Add economics","Add this client to Client Economics.",IFERROR(INDEX('KPI Benchmarks'!$G$5:$G$12,MATCH(Z41,'KPI Benchmarks'!$A$5:$A$12,0)),""))))</f>
        <v/>
      </c>
      <c r="AB41" s="13" t="n"/>
    </row>
    <row r="42">
      <c r="A42" s="14" t="n"/>
      <c r="B42" s="13" t="n"/>
      <c r="C42" s="34" t="n"/>
      <c r="D42" s="40" t="n"/>
      <c r="E42" s="40" t="n"/>
      <c r="F42" s="40" t="n"/>
      <c r="G42" s="40" t="n"/>
      <c r="H42" s="40" t="n"/>
      <c r="I42" s="40" t="n"/>
      <c r="J42" s="40" t="n"/>
      <c r="K42" s="34" t="n"/>
      <c r="L42" s="36">
        <f>IFERROR(C42/D42*1000,"")</f>
        <v/>
      </c>
      <c r="M42" s="41">
        <f>IFERROR(E42/D42,"")</f>
        <v/>
      </c>
      <c r="N42" s="41">
        <f>IFERROR(F42/D42,"")</f>
        <v/>
      </c>
      <c r="O42" s="42">
        <f>IFERROR(N42/M42,"")</f>
        <v/>
      </c>
      <c r="P42" s="36">
        <f>IFERROR(C42/F42,"")</f>
        <v/>
      </c>
      <c r="Q42" s="42">
        <f>IFERROR(G42/F42,"")</f>
        <v/>
      </c>
      <c r="R42" s="43">
        <f>IFERROR(H42/G42,"")</f>
        <v/>
      </c>
      <c r="S42" s="42">
        <f>IFERROR(I42/H42,"")</f>
        <v/>
      </c>
      <c r="T42" s="42">
        <f>IFERROR(J42/I42,"")</f>
        <v/>
      </c>
      <c r="U42" s="37">
        <f>IFERROR(K42/C42,"")</f>
        <v/>
      </c>
      <c r="V42" s="36">
        <f>IFERROR(C42/J42,"")</f>
        <v/>
      </c>
      <c r="W42" s="36">
        <f>IFERROR(K42/J42,"")</f>
        <v/>
      </c>
      <c r="X42" s="37">
        <f>IFERROR(INDEX('Client Economics'!$J$5:$J$34,MATCH(B42,'Client Economics'!$A$5:$A$34,0)),"")</f>
        <v/>
      </c>
      <c r="Y42" s="37">
        <f>IFERROR(U42/X42,"")</f>
        <v/>
      </c>
      <c r="Z42" s="44">
        <f>IF(D42="","",IF(N(M42)&lt;'KPI Benchmarks'!$D$5,"Attention",IF(N(O42)&lt;'KPI Benchmarks'!$D$6,"Interest",IF(N(Q42)&lt;'KPI Benchmarks'!$D$8,"Page load",IF(N(R42)&lt;'KPI Benchmarks'!$D$9,"Buying intent",IF(N(S42)&lt;'KPI Benchmarks'!$D$10,"Cart",IF(N(T42)&lt;'KPI Benchmarks'!$D$11,"Checkout",IF(X42="","Add economics",IF(N(Y42)&lt;'KPI Benchmarks'!$D$12,"Economics","Healthy – scale")))))))))</f>
        <v/>
      </c>
      <c r="AA42" s="27">
        <f>IF(Z42="","",IF(Z42="Healthy – scale","All stages pass. Add $10–20/day or a new audience; test new creatives beside the main campaign.",IF(Z42="Add economics","Add this client to Client Economics.",IFERROR(INDEX('KPI Benchmarks'!$G$5:$G$12,MATCH(Z42,'KPI Benchmarks'!$A$5:$A$12,0)),""))))</f>
        <v/>
      </c>
      <c r="AB42" s="13" t="n"/>
    </row>
    <row r="43">
      <c r="A43" s="14" t="n"/>
      <c r="B43" s="13" t="n"/>
      <c r="C43" s="34" t="n"/>
      <c r="D43" s="40" t="n"/>
      <c r="E43" s="40" t="n"/>
      <c r="F43" s="40" t="n"/>
      <c r="G43" s="40" t="n"/>
      <c r="H43" s="40" t="n"/>
      <c r="I43" s="40" t="n"/>
      <c r="J43" s="40" t="n"/>
      <c r="K43" s="34" t="n"/>
      <c r="L43" s="36">
        <f>IFERROR(C43/D43*1000,"")</f>
        <v/>
      </c>
      <c r="M43" s="41">
        <f>IFERROR(E43/D43,"")</f>
        <v/>
      </c>
      <c r="N43" s="41">
        <f>IFERROR(F43/D43,"")</f>
        <v/>
      </c>
      <c r="O43" s="42">
        <f>IFERROR(N43/M43,"")</f>
        <v/>
      </c>
      <c r="P43" s="36">
        <f>IFERROR(C43/F43,"")</f>
        <v/>
      </c>
      <c r="Q43" s="42">
        <f>IFERROR(G43/F43,"")</f>
        <v/>
      </c>
      <c r="R43" s="43">
        <f>IFERROR(H43/G43,"")</f>
        <v/>
      </c>
      <c r="S43" s="42">
        <f>IFERROR(I43/H43,"")</f>
        <v/>
      </c>
      <c r="T43" s="42">
        <f>IFERROR(J43/I43,"")</f>
        <v/>
      </c>
      <c r="U43" s="37">
        <f>IFERROR(K43/C43,"")</f>
        <v/>
      </c>
      <c r="V43" s="36">
        <f>IFERROR(C43/J43,"")</f>
        <v/>
      </c>
      <c r="W43" s="36">
        <f>IFERROR(K43/J43,"")</f>
        <v/>
      </c>
      <c r="X43" s="37">
        <f>IFERROR(INDEX('Client Economics'!$J$5:$J$34,MATCH(B43,'Client Economics'!$A$5:$A$34,0)),"")</f>
        <v/>
      </c>
      <c r="Y43" s="37">
        <f>IFERROR(U43/X43,"")</f>
        <v/>
      </c>
      <c r="Z43" s="44">
        <f>IF(D43="","",IF(N(M43)&lt;'KPI Benchmarks'!$D$5,"Attention",IF(N(O43)&lt;'KPI Benchmarks'!$D$6,"Interest",IF(N(Q43)&lt;'KPI Benchmarks'!$D$8,"Page load",IF(N(R43)&lt;'KPI Benchmarks'!$D$9,"Buying intent",IF(N(S43)&lt;'KPI Benchmarks'!$D$10,"Cart",IF(N(T43)&lt;'KPI Benchmarks'!$D$11,"Checkout",IF(X43="","Add economics",IF(N(Y43)&lt;'KPI Benchmarks'!$D$12,"Economics","Healthy – scale")))))))))</f>
        <v/>
      </c>
      <c r="AA43" s="27">
        <f>IF(Z43="","",IF(Z43="Healthy – scale","All stages pass. Add $10–20/day or a new audience; test new creatives beside the main campaign.",IF(Z43="Add economics","Add this client to Client Economics.",IFERROR(INDEX('KPI Benchmarks'!$G$5:$G$12,MATCH(Z43,'KPI Benchmarks'!$A$5:$A$12,0)),""))))</f>
        <v/>
      </c>
      <c r="AB43" s="13" t="n"/>
    </row>
    <row r="44">
      <c r="A44" s="14" t="n"/>
      <c r="B44" s="13" t="n"/>
      <c r="C44" s="34" t="n"/>
      <c r="D44" s="40" t="n"/>
      <c r="E44" s="40" t="n"/>
      <c r="F44" s="40" t="n"/>
      <c r="G44" s="40" t="n"/>
      <c r="H44" s="40" t="n"/>
      <c r="I44" s="40" t="n"/>
      <c r="J44" s="40" t="n"/>
      <c r="K44" s="34" t="n"/>
      <c r="L44" s="36">
        <f>IFERROR(C44/D44*1000,"")</f>
        <v/>
      </c>
      <c r="M44" s="41">
        <f>IFERROR(E44/D44,"")</f>
        <v/>
      </c>
      <c r="N44" s="41">
        <f>IFERROR(F44/D44,"")</f>
        <v/>
      </c>
      <c r="O44" s="42">
        <f>IFERROR(N44/M44,"")</f>
        <v/>
      </c>
      <c r="P44" s="36">
        <f>IFERROR(C44/F44,"")</f>
        <v/>
      </c>
      <c r="Q44" s="42">
        <f>IFERROR(G44/F44,"")</f>
        <v/>
      </c>
      <c r="R44" s="43">
        <f>IFERROR(H44/G44,"")</f>
        <v/>
      </c>
      <c r="S44" s="42">
        <f>IFERROR(I44/H44,"")</f>
        <v/>
      </c>
      <c r="T44" s="42">
        <f>IFERROR(J44/I44,"")</f>
        <v/>
      </c>
      <c r="U44" s="37">
        <f>IFERROR(K44/C44,"")</f>
        <v/>
      </c>
      <c r="V44" s="36">
        <f>IFERROR(C44/J44,"")</f>
        <v/>
      </c>
      <c r="W44" s="36">
        <f>IFERROR(K44/J44,"")</f>
        <v/>
      </c>
      <c r="X44" s="37">
        <f>IFERROR(INDEX('Client Economics'!$J$5:$J$34,MATCH(B44,'Client Economics'!$A$5:$A$34,0)),"")</f>
        <v/>
      </c>
      <c r="Y44" s="37">
        <f>IFERROR(U44/X44,"")</f>
        <v/>
      </c>
      <c r="Z44" s="44">
        <f>IF(D44="","",IF(N(M44)&lt;'KPI Benchmarks'!$D$5,"Attention",IF(N(O44)&lt;'KPI Benchmarks'!$D$6,"Interest",IF(N(Q44)&lt;'KPI Benchmarks'!$D$8,"Page load",IF(N(R44)&lt;'KPI Benchmarks'!$D$9,"Buying intent",IF(N(S44)&lt;'KPI Benchmarks'!$D$10,"Cart",IF(N(T44)&lt;'KPI Benchmarks'!$D$11,"Checkout",IF(X44="","Add economics",IF(N(Y44)&lt;'KPI Benchmarks'!$D$12,"Economics","Healthy – scale")))))))))</f>
        <v/>
      </c>
      <c r="AA44" s="27">
        <f>IF(Z44="","",IF(Z44="Healthy – scale","All stages pass. Add $10–20/day or a new audience; test new creatives beside the main campaign.",IF(Z44="Add economics","Add this client to Client Economics.",IFERROR(INDEX('KPI Benchmarks'!$G$5:$G$12,MATCH(Z44,'KPI Benchmarks'!$A$5:$A$12,0)),""))))</f>
        <v/>
      </c>
      <c r="AB44" s="13" t="n"/>
    </row>
    <row r="45">
      <c r="A45" s="14" t="n"/>
      <c r="B45" s="13" t="n"/>
      <c r="C45" s="34" t="n"/>
      <c r="D45" s="40" t="n"/>
      <c r="E45" s="40" t="n"/>
      <c r="F45" s="40" t="n"/>
      <c r="G45" s="40" t="n"/>
      <c r="H45" s="40" t="n"/>
      <c r="I45" s="40" t="n"/>
      <c r="J45" s="40" t="n"/>
      <c r="K45" s="34" t="n"/>
      <c r="L45" s="36">
        <f>IFERROR(C45/D45*1000,"")</f>
        <v/>
      </c>
      <c r="M45" s="41">
        <f>IFERROR(E45/D45,"")</f>
        <v/>
      </c>
      <c r="N45" s="41">
        <f>IFERROR(F45/D45,"")</f>
        <v/>
      </c>
      <c r="O45" s="42">
        <f>IFERROR(N45/M45,"")</f>
        <v/>
      </c>
      <c r="P45" s="36">
        <f>IFERROR(C45/F45,"")</f>
        <v/>
      </c>
      <c r="Q45" s="42">
        <f>IFERROR(G45/F45,"")</f>
        <v/>
      </c>
      <c r="R45" s="43">
        <f>IFERROR(H45/G45,"")</f>
        <v/>
      </c>
      <c r="S45" s="42">
        <f>IFERROR(I45/H45,"")</f>
        <v/>
      </c>
      <c r="T45" s="42">
        <f>IFERROR(J45/I45,"")</f>
        <v/>
      </c>
      <c r="U45" s="37">
        <f>IFERROR(K45/C45,"")</f>
        <v/>
      </c>
      <c r="V45" s="36">
        <f>IFERROR(C45/J45,"")</f>
        <v/>
      </c>
      <c r="W45" s="36">
        <f>IFERROR(K45/J45,"")</f>
        <v/>
      </c>
      <c r="X45" s="37">
        <f>IFERROR(INDEX('Client Economics'!$J$5:$J$34,MATCH(B45,'Client Economics'!$A$5:$A$34,0)),"")</f>
        <v/>
      </c>
      <c r="Y45" s="37">
        <f>IFERROR(U45/X45,"")</f>
        <v/>
      </c>
      <c r="Z45" s="44">
        <f>IF(D45="","",IF(N(M45)&lt;'KPI Benchmarks'!$D$5,"Attention",IF(N(O45)&lt;'KPI Benchmarks'!$D$6,"Interest",IF(N(Q45)&lt;'KPI Benchmarks'!$D$8,"Page load",IF(N(R45)&lt;'KPI Benchmarks'!$D$9,"Buying intent",IF(N(S45)&lt;'KPI Benchmarks'!$D$10,"Cart",IF(N(T45)&lt;'KPI Benchmarks'!$D$11,"Checkout",IF(X45="","Add economics",IF(N(Y45)&lt;'KPI Benchmarks'!$D$12,"Economics","Healthy – scale")))))))))</f>
        <v/>
      </c>
      <c r="AA45" s="27">
        <f>IF(Z45="","",IF(Z45="Healthy – scale","All stages pass. Add $10–20/day or a new audience; test new creatives beside the main campaign.",IF(Z45="Add economics","Add this client to Client Economics.",IFERROR(INDEX('KPI Benchmarks'!$G$5:$G$12,MATCH(Z45,'KPI Benchmarks'!$A$5:$A$12,0)),""))))</f>
        <v/>
      </c>
      <c r="AB45" s="13" t="n"/>
    </row>
    <row r="46">
      <c r="A46" s="14" t="n"/>
      <c r="B46" s="13" t="n"/>
      <c r="C46" s="34" t="n"/>
      <c r="D46" s="40" t="n"/>
      <c r="E46" s="40" t="n"/>
      <c r="F46" s="40" t="n"/>
      <c r="G46" s="40" t="n"/>
      <c r="H46" s="40" t="n"/>
      <c r="I46" s="40" t="n"/>
      <c r="J46" s="40" t="n"/>
      <c r="K46" s="34" t="n"/>
      <c r="L46" s="36">
        <f>IFERROR(C46/D46*1000,"")</f>
        <v/>
      </c>
      <c r="M46" s="41">
        <f>IFERROR(E46/D46,"")</f>
        <v/>
      </c>
      <c r="N46" s="41">
        <f>IFERROR(F46/D46,"")</f>
        <v/>
      </c>
      <c r="O46" s="42">
        <f>IFERROR(N46/M46,"")</f>
        <v/>
      </c>
      <c r="P46" s="36">
        <f>IFERROR(C46/F46,"")</f>
        <v/>
      </c>
      <c r="Q46" s="42">
        <f>IFERROR(G46/F46,"")</f>
        <v/>
      </c>
      <c r="R46" s="43">
        <f>IFERROR(H46/G46,"")</f>
        <v/>
      </c>
      <c r="S46" s="42">
        <f>IFERROR(I46/H46,"")</f>
        <v/>
      </c>
      <c r="T46" s="42">
        <f>IFERROR(J46/I46,"")</f>
        <v/>
      </c>
      <c r="U46" s="37">
        <f>IFERROR(K46/C46,"")</f>
        <v/>
      </c>
      <c r="V46" s="36">
        <f>IFERROR(C46/J46,"")</f>
        <v/>
      </c>
      <c r="W46" s="36">
        <f>IFERROR(K46/J46,"")</f>
        <v/>
      </c>
      <c r="X46" s="37">
        <f>IFERROR(INDEX('Client Economics'!$J$5:$J$34,MATCH(B46,'Client Economics'!$A$5:$A$34,0)),"")</f>
        <v/>
      </c>
      <c r="Y46" s="37">
        <f>IFERROR(U46/X46,"")</f>
        <v/>
      </c>
      <c r="Z46" s="44">
        <f>IF(D46="","",IF(N(M46)&lt;'KPI Benchmarks'!$D$5,"Attention",IF(N(O46)&lt;'KPI Benchmarks'!$D$6,"Interest",IF(N(Q46)&lt;'KPI Benchmarks'!$D$8,"Page load",IF(N(R46)&lt;'KPI Benchmarks'!$D$9,"Buying intent",IF(N(S46)&lt;'KPI Benchmarks'!$D$10,"Cart",IF(N(T46)&lt;'KPI Benchmarks'!$D$11,"Checkout",IF(X46="","Add economics",IF(N(Y46)&lt;'KPI Benchmarks'!$D$12,"Economics","Healthy – scale")))))))))</f>
        <v/>
      </c>
      <c r="AA46" s="27">
        <f>IF(Z46="","",IF(Z46="Healthy – scale","All stages pass. Add $10–20/day or a new audience; test new creatives beside the main campaign.",IF(Z46="Add economics","Add this client to Client Economics.",IFERROR(INDEX('KPI Benchmarks'!$G$5:$G$12,MATCH(Z46,'KPI Benchmarks'!$A$5:$A$12,0)),""))))</f>
        <v/>
      </c>
      <c r="AB46" s="13" t="n"/>
    </row>
    <row r="47">
      <c r="A47" s="14" t="n"/>
      <c r="B47" s="13" t="n"/>
      <c r="C47" s="34" t="n"/>
      <c r="D47" s="40" t="n"/>
      <c r="E47" s="40" t="n"/>
      <c r="F47" s="40" t="n"/>
      <c r="G47" s="40" t="n"/>
      <c r="H47" s="40" t="n"/>
      <c r="I47" s="40" t="n"/>
      <c r="J47" s="40" t="n"/>
      <c r="K47" s="34" t="n"/>
      <c r="L47" s="36">
        <f>IFERROR(C47/D47*1000,"")</f>
        <v/>
      </c>
      <c r="M47" s="41">
        <f>IFERROR(E47/D47,"")</f>
        <v/>
      </c>
      <c r="N47" s="41">
        <f>IFERROR(F47/D47,"")</f>
        <v/>
      </c>
      <c r="O47" s="42">
        <f>IFERROR(N47/M47,"")</f>
        <v/>
      </c>
      <c r="P47" s="36">
        <f>IFERROR(C47/F47,"")</f>
        <v/>
      </c>
      <c r="Q47" s="42">
        <f>IFERROR(G47/F47,"")</f>
        <v/>
      </c>
      <c r="R47" s="43">
        <f>IFERROR(H47/G47,"")</f>
        <v/>
      </c>
      <c r="S47" s="42">
        <f>IFERROR(I47/H47,"")</f>
        <v/>
      </c>
      <c r="T47" s="42">
        <f>IFERROR(J47/I47,"")</f>
        <v/>
      </c>
      <c r="U47" s="37">
        <f>IFERROR(K47/C47,"")</f>
        <v/>
      </c>
      <c r="V47" s="36">
        <f>IFERROR(C47/J47,"")</f>
        <v/>
      </c>
      <c r="W47" s="36">
        <f>IFERROR(K47/J47,"")</f>
        <v/>
      </c>
      <c r="X47" s="37">
        <f>IFERROR(INDEX('Client Economics'!$J$5:$J$34,MATCH(B47,'Client Economics'!$A$5:$A$34,0)),"")</f>
        <v/>
      </c>
      <c r="Y47" s="37">
        <f>IFERROR(U47/X47,"")</f>
        <v/>
      </c>
      <c r="Z47" s="44">
        <f>IF(D47="","",IF(N(M47)&lt;'KPI Benchmarks'!$D$5,"Attention",IF(N(O47)&lt;'KPI Benchmarks'!$D$6,"Interest",IF(N(Q47)&lt;'KPI Benchmarks'!$D$8,"Page load",IF(N(R47)&lt;'KPI Benchmarks'!$D$9,"Buying intent",IF(N(S47)&lt;'KPI Benchmarks'!$D$10,"Cart",IF(N(T47)&lt;'KPI Benchmarks'!$D$11,"Checkout",IF(X47="","Add economics",IF(N(Y47)&lt;'KPI Benchmarks'!$D$12,"Economics","Healthy – scale")))))))))</f>
        <v/>
      </c>
      <c r="AA47" s="27">
        <f>IF(Z47="","",IF(Z47="Healthy – scale","All stages pass. Add $10–20/day or a new audience; test new creatives beside the main campaign.",IF(Z47="Add economics","Add this client to Client Economics.",IFERROR(INDEX('KPI Benchmarks'!$G$5:$G$12,MATCH(Z47,'KPI Benchmarks'!$A$5:$A$12,0)),""))))</f>
        <v/>
      </c>
      <c r="AB47" s="13" t="n"/>
    </row>
    <row r="48">
      <c r="A48" s="14" t="n"/>
      <c r="B48" s="13" t="n"/>
      <c r="C48" s="34" t="n"/>
      <c r="D48" s="40" t="n"/>
      <c r="E48" s="40" t="n"/>
      <c r="F48" s="40" t="n"/>
      <c r="G48" s="40" t="n"/>
      <c r="H48" s="40" t="n"/>
      <c r="I48" s="40" t="n"/>
      <c r="J48" s="40" t="n"/>
      <c r="K48" s="34" t="n"/>
      <c r="L48" s="36">
        <f>IFERROR(C48/D48*1000,"")</f>
        <v/>
      </c>
      <c r="M48" s="41">
        <f>IFERROR(E48/D48,"")</f>
        <v/>
      </c>
      <c r="N48" s="41">
        <f>IFERROR(F48/D48,"")</f>
        <v/>
      </c>
      <c r="O48" s="42">
        <f>IFERROR(N48/M48,"")</f>
        <v/>
      </c>
      <c r="P48" s="36">
        <f>IFERROR(C48/F48,"")</f>
        <v/>
      </c>
      <c r="Q48" s="42">
        <f>IFERROR(G48/F48,"")</f>
        <v/>
      </c>
      <c r="R48" s="43">
        <f>IFERROR(H48/G48,"")</f>
        <v/>
      </c>
      <c r="S48" s="42">
        <f>IFERROR(I48/H48,"")</f>
        <v/>
      </c>
      <c r="T48" s="42">
        <f>IFERROR(J48/I48,"")</f>
        <v/>
      </c>
      <c r="U48" s="37">
        <f>IFERROR(K48/C48,"")</f>
        <v/>
      </c>
      <c r="V48" s="36">
        <f>IFERROR(C48/J48,"")</f>
        <v/>
      </c>
      <c r="W48" s="36">
        <f>IFERROR(K48/J48,"")</f>
        <v/>
      </c>
      <c r="X48" s="37">
        <f>IFERROR(INDEX('Client Economics'!$J$5:$J$34,MATCH(B48,'Client Economics'!$A$5:$A$34,0)),"")</f>
        <v/>
      </c>
      <c r="Y48" s="37">
        <f>IFERROR(U48/X48,"")</f>
        <v/>
      </c>
      <c r="Z48" s="44">
        <f>IF(D48="","",IF(N(M48)&lt;'KPI Benchmarks'!$D$5,"Attention",IF(N(O48)&lt;'KPI Benchmarks'!$D$6,"Interest",IF(N(Q48)&lt;'KPI Benchmarks'!$D$8,"Page load",IF(N(R48)&lt;'KPI Benchmarks'!$D$9,"Buying intent",IF(N(S48)&lt;'KPI Benchmarks'!$D$10,"Cart",IF(N(T48)&lt;'KPI Benchmarks'!$D$11,"Checkout",IF(X48="","Add economics",IF(N(Y48)&lt;'KPI Benchmarks'!$D$12,"Economics","Healthy – scale")))))))))</f>
        <v/>
      </c>
      <c r="AA48" s="27">
        <f>IF(Z48="","",IF(Z48="Healthy – scale","All stages pass. Add $10–20/day or a new audience; test new creatives beside the main campaign.",IF(Z48="Add economics","Add this client to Client Economics.",IFERROR(INDEX('KPI Benchmarks'!$G$5:$G$12,MATCH(Z48,'KPI Benchmarks'!$A$5:$A$12,0)),""))))</f>
        <v/>
      </c>
      <c r="AB48" s="13" t="n"/>
    </row>
    <row r="49">
      <c r="A49" s="14" t="n"/>
      <c r="B49" s="13" t="n"/>
      <c r="C49" s="34" t="n"/>
      <c r="D49" s="40" t="n"/>
      <c r="E49" s="40" t="n"/>
      <c r="F49" s="40" t="n"/>
      <c r="G49" s="40" t="n"/>
      <c r="H49" s="40" t="n"/>
      <c r="I49" s="40" t="n"/>
      <c r="J49" s="40" t="n"/>
      <c r="K49" s="34" t="n"/>
      <c r="L49" s="36">
        <f>IFERROR(C49/D49*1000,"")</f>
        <v/>
      </c>
      <c r="M49" s="41">
        <f>IFERROR(E49/D49,"")</f>
        <v/>
      </c>
      <c r="N49" s="41">
        <f>IFERROR(F49/D49,"")</f>
        <v/>
      </c>
      <c r="O49" s="42">
        <f>IFERROR(N49/M49,"")</f>
        <v/>
      </c>
      <c r="P49" s="36">
        <f>IFERROR(C49/F49,"")</f>
        <v/>
      </c>
      <c r="Q49" s="42">
        <f>IFERROR(G49/F49,"")</f>
        <v/>
      </c>
      <c r="R49" s="43">
        <f>IFERROR(H49/G49,"")</f>
        <v/>
      </c>
      <c r="S49" s="42">
        <f>IFERROR(I49/H49,"")</f>
        <v/>
      </c>
      <c r="T49" s="42">
        <f>IFERROR(J49/I49,"")</f>
        <v/>
      </c>
      <c r="U49" s="37">
        <f>IFERROR(K49/C49,"")</f>
        <v/>
      </c>
      <c r="V49" s="36">
        <f>IFERROR(C49/J49,"")</f>
        <v/>
      </c>
      <c r="W49" s="36">
        <f>IFERROR(K49/J49,"")</f>
        <v/>
      </c>
      <c r="X49" s="37">
        <f>IFERROR(INDEX('Client Economics'!$J$5:$J$34,MATCH(B49,'Client Economics'!$A$5:$A$34,0)),"")</f>
        <v/>
      </c>
      <c r="Y49" s="37">
        <f>IFERROR(U49/X49,"")</f>
        <v/>
      </c>
      <c r="Z49" s="44">
        <f>IF(D49="","",IF(N(M49)&lt;'KPI Benchmarks'!$D$5,"Attention",IF(N(O49)&lt;'KPI Benchmarks'!$D$6,"Interest",IF(N(Q49)&lt;'KPI Benchmarks'!$D$8,"Page load",IF(N(R49)&lt;'KPI Benchmarks'!$D$9,"Buying intent",IF(N(S49)&lt;'KPI Benchmarks'!$D$10,"Cart",IF(N(T49)&lt;'KPI Benchmarks'!$D$11,"Checkout",IF(X49="","Add economics",IF(N(Y49)&lt;'KPI Benchmarks'!$D$12,"Economics","Healthy – scale")))))))))</f>
        <v/>
      </c>
      <c r="AA49" s="27">
        <f>IF(Z49="","",IF(Z49="Healthy – scale","All stages pass. Add $10–20/day or a new audience; test new creatives beside the main campaign.",IF(Z49="Add economics","Add this client to Client Economics.",IFERROR(INDEX('KPI Benchmarks'!$G$5:$G$12,MATCH(Z49,'KPI Benchmarks'!$A$5:$A$12,0)),""))))</f>
        <v/>
      </c>
      <c r="AB49" s="13" t="n"/>
    </row>
    <row r="50">
      <c r="A50" s="14" t="n"/>
      <c r="B50" s="13" t="n"/>
      <c r="C50" s="34" t="n"/>
      <c r="D50" s="40" t="n"/>
      <c r="E50" s="40" t="n"/>
      <c r="F50" s="40" t="n"/>
      <c r="G50" s="40" t="n"/>
      <c r="H50" s="40" t="n"/>
      <c r="I50" s="40" t="n"/>
      <c r="J50" s="40" t="n"/>
      <c r="K50" s="34" t="n"/>
      <c r="L50" s="36">
        <f>IFERROR(C50/D50*1000,"")</f>
        <v/>
      </c>
      <c r="M50" s="41">
        <f>IFERROR(E50/D50,"")</f>
        <v/>
      </c>
      <c r="N50" s="41">
        <f>IFERROR(F50/D50,"")</f>
        <v/>
      </c>
      <c r="O50" s="42">
        <f>IFERROR(N50/M50,"")</f>
        <v/>
      </c>
      <c r="P50" s="36">
        <f>IFERROR(C50/F50,"")</f>
        <v/>
      </c>
      <c r="Q50" s="42">
        <f>IFERROR(G50/F50,"")</f>
        <v/>
      </c>
      <c r="R50" s="43">
        <f>IFERROR(H50/G50,"")</f>
        <v/>
      </c>
      <c r="S50" s="42">
        <f>IFERROR(I50/H50,"")</f>
        <v/>
      </c>
      <c r="T50" s="42">
        <f>IFERROR(J50/I50,"")</f>
        <v/>
      </c>
      <c r="U50" s="37">
        <f>IFERROR(K50/C50,"")</f>
        <v/>
      </c>
      <c r="V50" s="36">
        <f>IFERROR(C50/J50,"")</f>
        <v/>
      </c>
      <c r="W50" s="36">
        <f>IFERROR(K50/J50,"")</f>
        <v/>
      </c>
      <c r="X50" s="37">
        <f>IFERROR(INDEX('Client Economics'!$J$5:$J$34,MATCH(B50,'Client Economics'!$A$5:$A$34,0)),"")</f>
        <v/>
      </c>
      <c r="Y50" s="37">
        <f>IFERROR(U50/X50,"")</f>
        <v/>
      </c>
      <c r="Z50" s="44">
        <f>IF(D50="","",IF(N(M50)&lt;'KPI Benchmarks'!$D$5,"Attention",IF(N(O50)&lt;'KPI Benchmarks'!$D$6,"Interest",IF(N(Q50)&lt;'KPI Benchmarks'!$D$8,"Page load",IF(N(R50)&lt;'KPI Benchmarks'!$D$9,"Buying intent",IF(N(S50)&lt;'KPI Benchmarks'!$D$10,"Cart",IF(N(T50)&lt;'KPI Benchmarks'!$D$11,"Checkout",IF(X50="","Add economics",IF(N(Y50)&lt;'KPI Benchmarks'!$D$12,"Economics","Healthy – scale")))))))))</f>
        <v/>
      </c>
      <c r="AA50" s="27">
        <f>IF(Z50="","",IF(Z50="Healthy – scale","All stages pass. Add $10–20/day or a new audience; test new creatives beside the main campaign.",IF(Z50="Add economics","Add this client to Client Economics.",IFERROR(INDEX('KPI Benchmarks'!$G$5:$G$12,MATCH(Z50,'KPI Benchmarks'!$A$5:$A$12,0)),""))))</f>
        <v/>
      </c>
      <c r="AB50" s="13" t="n"/>
    </row>
    <row r="51">
      <c r="A51" s="14" t="n"/>
      <c r="B51" s="13" t="n"/>
      <c r="C51" s="34" t="n"/>
      <c r="D51" s="40" t="n"/>
      <c r="E51" s="40" t="n"/>
      <c r="F51" s="40" t="n"/>
      <c r="G51" s="40" t="n"/>
      <c r="H51" s="40" t="n"/>
      <c r="I51" s="40" t="n"/>
      <c r="J51" s="40" t="n"/>
      <c r="K51" s="34" t="n"/>
      <c r="L51" s="36">
        <f>IFERROR(C51/D51*1000,"")</f>
        <v/>
      </c>
      <c r="M51" s="41">
        <f>IFERROR(E51/D51,"")</f>
        <v/>
      </c>
      <c r="N51" s="41">
        <f>IFERROR(F51/D51,"")</f>
        <v/>
      </c>
      <c r="O51" s="42">
        <f>IFERROR(N51/M51,"")</f>
        <v/>
      </c>
      <c r="P51" s="36">
        <f>IFERROR(C51/F51,"")</f>
        <v/>
      </c>
      <c r="Q51" s="42">
        <f>IFERROR(G51/F51,"")</f>
        <v/>
      </c>
      <c r="R51" s="43">
        <f>IFERROR(H51/G51,"")</f>
        <v/>
      </c>
      <c r="S51" s="42">
        <f>IFERROR(I51/H51,"")</f>
        <v/>
      </c>
      <c r="T51" s="42">
        <f>IFERROR(J51/I51,"")</f>
        <v/>
      </c>
      <c r="U51" s="37">
        <f>IFERROR(K51/C51,"")</f>
        <v/>
      </c>
      <c r="V51" s="36">
        <f>IFERROR(C51/J51,"")</f>
        <v/>
      </c>
      <c r="W51" s="36">
        <f>IFERROR(K51/J51,"")</f>
        <v/>
      </c>
      <c r="X51" s="37">
        <f>IFERROR(INDEX('Client Economics'!$J$5:$J$34,MATCH(B51,'Client Economics'!$A$5:$A$34,0)),"")</f>
        <v/>
      </c>
      <c r="Y51" s="37">
        <f>IFERROR(U51/X51,"")</f>
        <v/>
      </c>
      <c r="Z51" s="44">
        <f>IF(D51="","",IF(N(M51)&lt;'KPI Benchmarks'!$D$5,"Attention",IF(N(O51)&lt;'KPI Benchmarks'!$D$6,"Interest",IF(N(Q51)&lt;'KPI Benchmarks'!$D$8,"Page load",IF(N(R51)&lt;'KPI Benchmarks'!$D$9,"Buying intent",IF(N(S51)&lt;'KPI Benchmarks'!$D$10,"Cart",IF(N(T51)&lt;'KPI Benchmarks'!$D$11,"Checkout",IF(X51="","Add economics",IF(N(Y51)&lt;'KPI Benchmarks'!$D$12,"Economics","Healthy – scale")))))))))</f>
        <v/>
      </c>
      <c r="AA51" s="27">
        <f>IF(Z51="","",IF(Z51="Healthy – scale","All stages pass. Add $10–20/day or a new audience; test new creatives beside the main campaign.",IF(Z51="Add economics","Add this client to Client Economics.",IFERROR(INDEX('KPI Benchmarks'!$G$5:$G$12,MATCH(Z51,'KPI Benchmarks'!$A$5:$A$12,0)),""))))</f>
        <v/>
      </c>
      <c r="AB51" s="13" t="n"/>
    </row>
    <row r="52">
      <c r="A52" s="14" t="n"/>
      <c r="B52" s="13" t="n"/>
      <c r="C52" s="34" t="n"/>
      <c r="D52" s="40" t="n"/>
      <c r="E52" s="40" t="n"/>
      <c r="F52" s="40" t="n"/>
      <c r="G52" s="40" t="n"/>
      <c r="H52" s="40" t="n"/>
      <c r="I52" s="40" t="n"/>
      <c r="J52" s="40" t="n"/>
      <c r="K52" s="34" t="n"/>
      <c r="L52" s="36">
        <f>IFERROR(C52/D52*1000,"")</f>
        <v/>
      </c>
      <c r="M52" s="41">
        <f>IFERROR(E52/D52,"")</f>
        <v/>
      </c>
      <c r="N52" s="41">
        <f>IFERROR(F52/D52,"")</f>
        <v/>
      </c>
      <c r="O52" s="42">
        <f>IFERROR(N52/M52,"")</f>
        <v/>
      </c>
      <c r="P52" s="36">
        <f>IFERROR(C52/F52,"")</f>
        <v/>
      </c>
      <c r="Q52" s="42">
        <f>IFERROR(G52/F52,"")</f>
        <v/>
      </c>
      <c r="R52" s="43">
        <f>IFERROR(H52/G52,"")</f>
        <v/>
      </c>
      <c r="S52" s="42">
        <f>IFERROR(I52/H52,"")</f>
        <v/>
      </c>
      <c r="T52" s="42">
        <f>IFERROR(J52/I52,"")</f>
        <v/>
      </c>
      <c r="U52" s="37">
        <f>IFERROR(K52/C52,"")</f>
        <v/>
      </c>
      <c r="V52" s="36">
        <f>IFERROR(C52/J52,"")</f>
        <v/>
      </c>
      <c r="W52" s="36">
        <f>IFERROR(K52/J52,"")</f>
        <v/>
      </c>
      <c r="X52" s="37">
        <f>IFERROR(INDEX('Client Economics'!$J$5:$J$34,MATCH(B52,'Client Economics'!$A$5:$A$34,0)),"")</f>
        <v/>
      </c>
      <c r="Y52" s="37">
        <f>IFERROR(U52/X52,"")</f>
        <v/>
      </c>
      <c r="Z52" s="44">
        <f>IF(D52="","",IF(N(M52)&lt;'KPI Benchmarks'!$D$5,"Attention",IF(N(O52)&lt;'KPI Benchmarks'!$D$6,"Interest",IF(N(Q52)&lt;'KPI Benchmarks'!$D$8,"Page load",IF(N(R52)&lt;'KPI Benchmarks'!$D$9,"Buying intent",IF(N(S52)&lt;'KPI Benchmarks'!$D$10,"Cart",IF(N(T52)&lt;'KPI Benchmarks'!$D$11,"Checkout",IF(X52="","Add economics",IF(N(Y52)&lt;'KPI Benchmarks'!$D$12,"Economics","Healthy – scale")))))))))</f>
        <v/>
      </c>
      <c r="AA52" s="27">
        <f>IF(Z52="","",IF(Z52="Healthy – scale","All stages pass. Add $10–20/day or a new audience; test new creatives beside the main campaign.",IF(Z52="Add economics","Add this client to Client Economics.",IFERROR(INDEX('KPI Benchmarks'!$G$5:$G$12,MATCH(Z52,'KPI Benchmarks'!$A$5:$A$12,0)),""))))</f>
        <v/>
      </c>
      <c r="AB52" s="13" t="n"/>
    </row>
    <row r="53">
      <c r="A53" s="14" t="n"/>
      <c r="B53" s="13" t="n"/>
      <c r="C53" s="34" t="n"/>
      <c r="D53" s="40" t="n"/>
      <c r="E53" s="40" t="n"/>
      <c r="F53" s="40" t="n"/>
      <c r="G53" s="40" t="n"/>
      <c r="H53" s="40" t="n"/>
      <c r="I53" s="40" t="n"/>
      <c r="J53" s="40" t="n"/>
      <c r="K53" s="34" t="n"/>
      <c r="L53" s="36">
        <f>IFERROR(C53/D53*1000,"")</f>
        <v/>
      </c>
      <c r="M53" s="41">
        <f>IFERROR(E53/D53,"")</f>
        <v/>
      </c>
      <c r="N53" s="41">
        <f>IFERROR(F53/D53,"")</f>
        <v/>
      </c>
      <c r="O53" s="42">
        <f>IFERROR(N53/M53,"")</f>
        <v/>
      </c>
      <c r="P53" s="36">
        <f>IFERROR(C53/F53,"")</f>
        <v/>
      </c>
      <c r="Q53" s="42">
        <f>IFERROR(G53/F53,"")</f>
        <v/>
      </c>
      <c r="R53" s="43">
        <f>IFERROR(H53/G53,"")</f>
        <v/>
      </c>
      <c r="S53" s="42">
        <f>IFERROR(I53/H53,"")</f>
        <v/>
      </c>
      <c r="T53" s="42">
        <f>IFERROR(J53/I53,"")</f>
        <v/>
      </c>
      <c r="U53" s="37">
        <f>IFERROR(K53/C53,"")</f>
        <v/>
      </c>
      <c r="V53" s="36">
        <f>IFERROR(C53/J53,"")</f>
        <v/>
      </c>
      <c r="W53" s="36">
        <f>IFERROR(K53/J53,"")</f>
        <v/>
      </c>
      <c r="X53" s="37">
        <f>IFERROR(INDEX('Client Economics'!$J$5:$J$34,MATCH(B53,'Client Economics'!$A$5:$A$34,0)),"")</f>
        <v/>
      </c>
      <c r="Y53" s="37">
        <f>IFERROR(U53/X53,"")</f>
        <v/>
      </c>
      <c r="Z53" s="44">
        <f>IF(D53="","",IF(N(M53)&lt;'KPI Benchmarks'!$D$5,"Attention",IF(N(O53)&lt;'KPI Benchmarks'!$D$6,"Interest",IF(N(Q53)&lt;'KPI Benchmarks'!$D$8,"Page load",IF(N(R53)&lt;'KPI Benchmarks'!$D$9,"Buying intent",IF(N(S53)&lt;'KPI Benchmarks'!$D$10,"Cart",IF(N(T53)&lt;'KPI Benchmarks'!$D$11,"Checkout",IF(X53="","Add economics",IF(N(Y53)&lt;'KPI Benchmarks'!$D$12,"Economics","Healthy – scale")))))))))</f>
        <v/>
      </c>
      <c r="AA53" s="27">
        <f>IF(Z53="","",IF(Z53="Healthy – scale","All stages pass. Add $10–20/day or a new audience; test new creatives beside the main campaign.",IF(Z53="Add economics","Add this client to Client Economics.",IFERROR(INDEX('KPI Benchmarks'!$G$5:$G$12,MATCH(Z53,'KPI Benchmarks'!$A$5:$A$12,0)),""))))</f>
        <v/>
      </c>
      <c r="AB53" s="13" t="n"/>
    </row>
    <row r="54">
      <c r="A54" s="14" t="n"/>
      <c r="B54" s="13" t="n"/>
      <c r="C54" s="34" t="n"/>
      <c r="D54" s="40" t="n"/>
      <c r="E54" s="40" t="n"/>
      <c r="F54" s="40" t="n"/>
      <c r="G54" s="40" t="n"/>
      <c r="H54" s="40" t="n"/>
      <c r="I54" s="40" t="n"/>
      <c r="J54" s="40" t="n"/>
      <c r="K54" s="34" t="n"/>
      <c r="L54" s="36">
        <f>IFERROR(C54/D54*1000,"")</f>
        <v/>
      </c>
      <c r="M54" s="41">
        <f>IFERROR(E54/D54,"")</f>
        <v/>
      </c>
      <c r="N54" s="41">
        <f>IFERROR(F54/D54,"")</f>
        <v/>
      </c>
      <c r="O54" s="42">
        <f>IFERROR(N54/M54,"")</f>
        <v/>
      </c>
      <c r="P54" s="36">
        <f>IFERROR(C54/F54,"")</f>
        <v/>
      </c>
      <c r="Q54" s="42">
        <f>IFERROR(G54/F54,"")</f>
        <v/>
      </c>
      <c r="R54" s="43">
        <f>IFERROR(H54/G54,"")</f>
        <v/>
      </c>
      <c r="S54" s="42">
        <f>IFERROR(I54/H54,"")</f>
        <v/>
      </c>
      <c r="T54" s="42">
        <f>IFERROR(J54/I54,"")</f>
        <v/>
      </c>
      <c r="U54" s="37">
        <f>IFERROR(K54/C54,"")</f>
        <v/>
      </c>
      <c r="V54" s="36">
        <f>IFERROR(C54/J54,"")</f>
        <v/>
      </c>
      <c r="W54" s="36">
        <f>IFERROR(K54/J54,"")</f>
        <v/>
      </c>
      <c r="X54" s="37">
        <f>IFERROR(INDEX('Client Economics'!$J$5:$J$34,MATCH(B54,'Client Economics'!$A$5:$A$34,0)),"")</f>
        <v/>
      </c>
      <c r="Y54" s="37">
        <f>IFERROR(U54/X54,"")</f>
        <v/>
      </c>
      <c r="Z54" s="44">
        <f>IF(D54="","",IF(N(M54)&lt;'KPI Benchmarks'!$D$5,"Attention",IF(N(O54)&lt;'KPI Benchmarks'!$D$6,"Interest",IF(N(Q54)&lt;'KPI Benchmarks'!$D$8,"Page load",IF(N(R54)&lt;'KPI Benchmarks'!$D$9,"Buying intent",IF(N(S54)&lt;'KPI Benchmarks'!$D$10,"Cart",IF(N(T54)&lt;'KPI Benchmarks'!$D$11,"Checkout",IF(X54="","Add economics",IF(N(Y54)&lt;'KPI Benchmarks'!$D$12,"Economics","Healthy – scale")))))))))</f>
        <v/>
      </c>
      <c r="AA54" s="27">
        <f>IF(Z54="","",IF(Z54="Healthy – scale","All stages pass. Add $10–20/day or a new audience; test new creatives beside the main campaign.",IF(Z54="Add economics","Add this client to Client Economics.",IFERROR(INDEX('KPI Benchmarks'!$G$5:$G$12,MATCH(Z54,'KPI Benchmarks'!$A$5:$A$12,0)),""))))</f>
        <v/>
      </c>
      <c r="AB54" s="13" t="n"/>
    </row>
    <row r="55">
      <c r="A55" s="14" t="n"/>
      <c r="B55" s="13" t="n"/>
      <c r="C55" s="34" t="n"/>
      <c r="D55" s="40" t="n"/>
      <c r="E55" s="40" t="n"/>
      <c r="F55" s="40" t="n"/>
      <c r="G55" s="40" t="n"/>
      <c r="H55" s="40" t="n"/>
      <c r="I55" s="40" t="n"/>
      <c r="J55" s="40" t="n"/>
      <c r="K55" s="34" t="n"/>
      <c r="L55" s="36">
        <f>IFERROR(C55/D55*1000,"")</f>
        <v/>
      </c>
      <c r="M55" s="41">
        <f>IFERROR(E55/D55,"")</f>
        <v/>
      </c>
      <c r="N55" s="41">
        <f>IFERROR(F55/D55,"")</f>
        <v/>
      </c>
      <c r="O55" s="42">
        <f>IFERROR(N55/M55,"")</f>
        <v/>
      </c>
      <c r="P55" s="36">
        <f>IFERROR(C55/F55,"")</f>
        <v/>
      </c>
      <c r="Q55" s="42">
        <f>IFERROR(G55/F55,"")</f>
        <v/>
      </c>
      <c r="R55" s="43">
        <f>IFERROR(H55/G55,"")</f>
        <v/>
      </c>
      <c r="S55" s="42">
        <f>IFERROR(I55/H55,"")</f>
        <v/>
      </c>
      <c r="T55" s="42">
        <f>IFERROR(J55/I55,"")</f>
        <v/>
      </c>
      <c r="U55" s="37">
        <f>IFERROR(K55/C55,"")</f>
        <v/>
      </c>
      <c r="V55" s="36">
        <f>IFERROR(C55/J55,"")</f>
        <v/>
      </c>
      <c r="W55" s="36">
        <f>IFERROR(K55/J55,"")</f>
        <v/>
      </c>
      <c r="X55" s="37">
        <f>IFERROR(INDEX('Client Economics'!$J$5:$J$34,MATCH(B55,'Client Economics'!$A$5:$A$34,0)),"")</f>
        <v/>
      </c>
      <c r="Y55" s="37">
        <f>IFERROR(U55/X55,"")</f>
        <v/>
      </c>
      <c r="Z55" s="44">
        <f>IF(D55="","",IF(N(M55)&lt;'KPI Benchmarks'!$D$5,"Attention",IF(N(O55)&lt;'KPI Benchmarks'!$D$6,"Interest",IF(N(Q55)&lt;'KPI Benchmarks'!$D$8,"Page load",IF(N(R55)&lt;'KPI Benchmarks'!$D$9,"Buying intent",IF(N(S55)&lt;'KPI Benchmarks'!$D$10,"Cart",IF(N(T55)&lt;'KPI Benchmarks'!$D$11,"Checkout",IF(X55="","Add economics",IF(N(Y55)&lt;'KPI Benchmarks'!$D$12,"Economics","Healthy – scale")))))))))</f>
        <v/>
      </c>
      <c r="AA55" s="27">
        <f>IF(Z55="","",IF(Z55="Healthy – scale","All stages pass. Add $10–20/day or a new audience; test new creatives beside the main campaign.",IF(Z55="Add economics","Add this client to Client Economics.",IFERROR(INDEX('KPI Benchmarks'!$G$5:$G$12,MATCH(Z55,'KPI Benchmarks'!$A$5:$A$12,0)),""))))</f>
        <v/>
      </c>
      <c r="AB55" s="13" t="n"/>
    </row>
    <row r="56">
      <c r="A56" s="14" t="n"/>
      <c r="B56" s="13" t="n"/>
      <c r="C56" s="34" t="n"/>
      <c r="D56" s="40" t="n"/>
      <c r="E56" s="40" t="n"/>
      <c r="F56" s="40" t="n"/>
      <c r="G56" s="40" t="n"/>
      <c r="H56" s="40" t="n"/>
      <c r="I56" s="40" t="n"/>
      <c r="J56" s="40" t="n"/>
      <c r="K56" s="34" t="n"/>
      <c r="L56" s="36">
        <f>IFERROR(C56/D56*1000,"")</f>
        <v/>
      </c>
      <c r="M56" s="41">
        <f>IFERROR(E56/D56,"")</f>
        <v/>
      </c>
      <c r="N56" s="41">
        <f>IFERROR(F56/D56,"")</f>
        <v/>
      </c>
      <c r="O56" s="42">
        <f>IFERROR(N56/M56,"")</f>
        <v/>
      </c>
      <c r="P56" s="36">
        <f>IFERROR(C56/F56,"")</f>
        <v/>
      </c>
      <c r="Q56" s="42">
        <f>IFERROR(G56/F56,"")</f>
        <v/>
      </c>
      <c r="R56" s="43">
        <f>IFERROR(H56/G56,"")</f>
        <v/>
      </c>
      <c r="S56" s="42">
        <f>IFERROR(I56/H56,"")</f>
        <v/>
      </c>
      <c r="T56" s="42">
        <f>IFERROR(J56/I56,"")</f>
        <v/>
      </c>
      <c r="U56" s="37">
        <f>IFERROR(K56/C56,"")</f>
        <v/>
      </c>
      <c r="V56" s="36">
        <f>IFERROR(C56/J56,"")</f>
        <v/>
      </c>
      <c r="W56" s="36">
        <f>IFERROR(K56/J56,"")</f>
        <v/>
      </c>
      <c r="X56" s="37">
        <f>IFERROR(INDEX('Client Economics'!$J$5:$J$34,MATCH(B56,'Client Economics'!$A$5:$A$34,0)),"")</f>
        <v/>
      </c>
      <c r="Y56" s="37">
        <f>IFERROR(U56/X56,"")</f>
        <v/>
      </c>
      <c r="Z56" s="44">
        <f>IF(D56="","",IF(N(M56)&lt;'KPI Benchmarks'!$D$5,"Attention",IF(N(O56)&lt;'KPI Benchmarks'!$D$6,"Interest",IF(N(Q56)&lt;'KPI Benchmarks'!$D$8,"Page load",IF(N(R56)&lt;'KPI Benchmarks'!$D$9,"Buying intent",IF(N(S56)&lt;'KPI Benchmarks'!$D$10,"Cart",IF(N(T56)&lt;'KPI Benchmarks'!$D$11,"Checkout",IF(X56="","Add economics",IF(N(Y56)&lt;'KPI Benchmarks'!$D$12,"Economics","Healthy – scale")))))))))</f>
        <v/>
      </c>
      <c r="AA56" s="27">
        <f>IF(Z56="","",IF(Z56="Healthy – scale","All stages pass. Add $10–20/day or a new audience; test new creatives beside the main campaign.",IF(Z56="Add economics","Add this client to Client Economics.",IFERROR(INDEX('KPI Benchmarks'!$G$5:$G$12,MATCH(Z56,'KPI Benchmarks'!$A$5:$A$12,0)),""))))</f>
        <v/>
      </c>
      <c r="AB56" s="13" t="n"/>
    </row>
    <row r="57">
      <c r="A57" s="14" t="n"/>
      <c r="B57" s="13" t="n"/>
      <c r="C57" s="34" t="n"/>
      <c r="D57" s="40" t="n"/>
      <c r="E57" s="40" t="n"/>
      <c r="F57" s="40" t="n"/>
      <c r="G57" s="40" t="n"/>
      <c r="H57" s="40" t="n"/>
      <c r="I57" s="40" t="n"/>
      <c r="J57" s="40" t="n"/>
      <c r="K57" s="34" t="n"/>
      <c r="L57" s="36">
        <f>IFERROR(C57/D57*1000,"")</f>
        <v/>
      </c>
      <c r="M57" s="41">
        <f>IFERROR(E57/D57,"")</f>
        <v/>
      </c>
      <c r="N57" s="41">
        <f>IFERROR(F57/D57,"")</f>
        <v/>
      </c>
      <c r="O57" s="42">
        <f>IFERROR(N57/M57,"")</f>
        <v/>
      </c>
      <c r="P57" s="36">
        <f>IFERROR(C57/F57,"")</f>
        <v/>
      </c>
      <c r="Q57" s="42">
        <f>IFERROR(G57/F57,"")</f>
        <v/>
      </c>
      <c r="R57" s="43">
        <f>IFERROR(H57/G57,"")</f>
        <v/>
      </c>
      <c r="S57" s="42">
        <f>IFERROR(I57/H57,"")</f>
        <v/>
      </c>
      <c r="T57" s="42">
        <f>IFERROR(J57/I57,"")</f>
        <v/>
      </c>
      <c r="U57" s="37">
        <f>IFERROR(K57/C57,"")</f>
        <v/>
      </c>
      <c r="V57" s="36">
        <f>IFERROR(C57/J57,"")</f>
        <v/>
      </c>
      <c r="W57" s="36">
        <f>IFERROR(K57/J57,"")</f>
        <v/>
      </c>
      <c r="X57" s="37">
        <f>IFERROR(INDEX('Client Economics'!$J$5:$J$34,MATCH(B57,'Client Economics'!$A$5:$A$34,0)),"")</f>
        <v/>
      </c>
      <c r="Y57" s="37">
        <f>IFERROR(U57/X57,"")</f>
        <v/>
      </c>
      <c r="Z57" s="44">
        <f>IF(D57="","",IF(N(M57)&lt;'KPI Benchmarks'!$D$5,"Attention",IF(N(O57)&lt;'KPI Benchmarks'!$D$6,"Interest",IF(N(Q57)&lt;'KPI Benchmarks'!$D$8,"Page load",IF(N(R57)&lt;'KPI Benchmarks'!$D$9,"Buying intent",IF(N(S57)&lt;'KPI Benchmarks'!$D$10,"Cart",IF(N(T57)&lt;'KPI Benchmarks'!$D$11,"Checkout",IF(X57="","Add economics",IF(N(Y57)&lt;'KPI Benchmarks'!$D$12,"Economics","Healthy – scale")))))))))</f>
        <v/>
      </c>
      <c r="AA57" s="27">
        <f>IF(Z57="","",IF(Z57="Healthy – scale","All stages pass. Add $10–20/day or a new audience; test new creatives beside the main campaign.",IF(Z57="Add economics","Add this client to Client Economics.",IFERROR(INDEX('KPI Benchmarks'!$G$5:$G$12,MATCH(Z57,'KPI Benchmarks'!$A$5:$A$12,0)),""))))</f>
        <v/>
      </c>
      <c r="AB57" s="13" t="n"/>
    </row>
    <row r="58">
      <c r="A58" s="14" t="n"/>
      <c r="B58" s="13" t="n"/>
      <c r="C58" s="34" t="n"/>
      <c r="D58" s="40" t="n"/>
      <c r="E58" s="40" t="n"/>
      <c r="F58" s="40" t="n"/>
      <c r="G58" s="40" t="n"/>
      <c r="H58" s="40" t="n"/>
      <c r="I58" s="40" t="n"/>
      <c r="J58" s="40" t="n"/>
      <c r="K58" s="34" t="n"/>
      <c r="L58" s="36">
        <f>IFERROR(C58/D58*1000,"")</f>
        <v/>
      </c>
      <c r="M58" s="41">
        <f>IFERROR(E58/D58,"")</f>
        <v/>
      </c>
      <c r="N58" s="41">
        <f>IFERROR(F58/D58,"")</f>
        <v/>
      </c>
      <c r="O58" s="42">
        <f>IFERROR(N58/M58,"")</f>
        <v/>
      </c>
      <c r="P58" s="36">
        <f>IFERROR(C58/F58,"")</f>
        <v/>
      </c>
      <c r="Q58" s="42">
        <f>IFERROR(G58/F58,"")</f>
        <v/>
      </c>
      <c r="R58" s="43">
        <f>IFERROR(H58/G58,"")</f>
        <v/>
      </c>
      <c r="S58" s="42">
        <f>IFERROR(I58/H58,"")</f>
        <v/>
      </c>
      <c r="T58" s="42">
        <f>IFERROR(J58/I58,"")</f>
        <v/>
      </c>
      <c r="U58" s="37">
        <f>IFERROR(K58/C58,"")</f>
        <v/>
      </c>
      <c r="V58" s="36">
        <f>IFERROR(C58/J58,"")</f>
        <v/>
      </c>
      <c r="W58" s="36">
        <f>IFERROR(K58/J58,"")</f>
        <v/>
      </c>
      <c r="X58" s="37">
        <f>IFERROR(INDEX('Client Economics'!$J$5:$J$34,MATCH(B58,'Client Economics'!$A$5:$A$34,0)),"")</f>
        <v/>
      </c>
      <c r="Y58" s="37">
        <f>IFERROR(U58/X58,"")</f>
        <v/>
      </c>
      <c r="Z58" s="44">
        <f>IF(D58="","",IF(N(M58)&lt;'KPI Benchmarks'!$D$5,"Attention",IF(N(O58)&lt;'KPI Benchmarks'!$D$6,"Interest",IF(N(Q58)&lt;'KPI Benchmarks'!$D$8,"Page load",IF(N(R58)&lt;'KPI Benchmarks'!$D$9,"Buying intent",IF(N(S58)&lt;'KPI Benchmarks'!$D$10,"Cart",IF(N(T58)&lt;'KPI Benchmarks'!$D$11,"Checkout",IF(X58="","Add economics",IF(N(Y58)&lt;'KPI Benchmarks'!$D$12,"Economics","Healthy – scale")))))))))</f>
        <v/>
      </c>
      <c r="AA58" s="27">
        <f>IF(Z58="","",IF(Z58="Healthy – scale","All stages pass. Add $10–20/day or a new audience; test new creatives beside the main campaign.",IF(Z58="Add economics","Add this client to Client Economics.",IFERROR(INDEX('KPI Benchmarks'!$G$5:$G$12,MATCH(Z58,'KPI Benchmarks'!$A$5:$A$12,0)),""))))</f>
        <v/>
      </c>
      <c r="AB58" s="13" t="n"/>
    </row>
    <row r="59">
      <c r="A59" s="14" t="n"/>
      <c r="B59" s="13" t="n"/>
      <c r="C59" s="34" t="n"/>
      <c r="D59" s="40" t="n"/>
      <c r="E59" s="40" t="n"/>
      <c r="F59" s="40" t="n"/>
      <c r="G59" s="40" t="n"/>
      <c r="H59" s="40" t="n"/>
      <c r="I59" s="40" t="n"/>
      <c r="J59" s="40" t="n"/>
      <c r="K59" s="34" t="n"/>
      <c r="L59" s="36">
        <f>IFERROR(C59/D59*1000,"")</f>
        <v/>
      </c>
      <c r="M59" s="41">
        <f>IFERROR(E59/D59,"")</f>
        <v/>
      </c>
      <c r="N59" s="41">
        <f>IFERROR(F59/D59,"")</f>
        <v/>
      </c>
      <c r="O59" s="42">
        <f>IFERROR(N59/M59,"")</f>
        <v/>
      </c>
      <c r="P59" s="36">
        <f>IFERROR(C59/F59,"")</f>
        <v/>
      </c>
      <c r="Q59" s="42">
        <f>IFERROR(G59/F59,"")</f>
        <v/>
      </c>
      <c r="R59" s="43">
        <f>IFERROR(H59/G59,"")</f>
        <v/>
      </c>
      <c r="S59" s="42">
        <f>IFERROR(I59/H59,"")</f>
        <v/>
      </c>
      <c r="T59" s="42">
        <f>IFERROR(J59/I59,"")</f>
        <v/>
      </c>
      <c r="U59" s="37">
        <f>IFERROR(K59/C59,"")</f>
        <v/>
      </c>
      <c r="V59" s="36">
        <f>IFERROR(C59/J59,"")</f>
        <v/>
      </c>
      <c r="W59" s="36">
        <f>IFERROR(K59/J59,"")</f>
        <v/>
      </c>
      <c r="X59" s="37">
        <f>IFERROR(INDEX('Client Economics'!$J$5:$J$34,MATCH(B59,'Client Economics'!$A$5:$A$34,0)),"")</f>
        <v/>
      </c>
      <c r="Y59" s="37">
        <f>IFERROR(U59/X59,"")</f>
        <v/>
      </c>
      <c r="Z59" s="44">
        <f>IF(D59="","",IF(N(M59)&lt;'KPI Benchmarks'!$D$5,"Attention",IF(N(O59)&lt;'KPI Benchmarks'!$D$6,"Interest",IF(N(Q59)&lt;'KPI Benchmarks'!$D$8,"Page load",IF(N(R59)&lt;'KPI Benchmarks'!$D$9,"Buying intent",IF(N(S59)&lt;'KPI Benchmarks'!$D$10,"Cart",IF(N(T59)&lt;'KPI Benchmarks'!$D$11,"Checkout",IF(X59="","Add economics",IF(N(Y59)&lt;'KPI Benchmarks'!$D$12,"Economics","Healthy – scale")))))))))</f>
        <v/>
      </c>
      <c r="AA59" s="27">
        <f>IF(Z59="","",IF(Z59="Healthy – scale","All stages pass. Add $10–20/day or a new audience; test new creatives beside the main campaign.",IF(Z59="Add economics","Add this client to Client Economics.",IFERROR(INDEX('KPI Benchmarks'!$G$5:$G$12,MATCH(Z59,'KPI Benchmarks'!$A$5:$A$12,0)),""))))</f>
        <v/>
      </c>
      <c r="AB59" s="13" t="n"/>
    </row>
    <row r="60">
      <c r="A60" s="14" t="n"/>
      <c r="B60" s="13" t="n"/>
      <c r="C60" s="34" t="n"/>
      <c r="D60" s="40" t="n"/>
      <c r="E60" s="40" t="n"/>
      <c r="F60" s="40" t="n"/>
      <c r="G60" s="40" t="n"/>
      <c r="H60" s="40" t="n"/>
      <c r="I60" s="40" t="n"/>
      <c r="J60" s="40" t="n"/>
      <c r="K60" s="34" t="n"/>
      <c r="L60" s="36">
        <f>IFERROR(C60/D60*1000,"")</f>
        <v/>
      </c>
      <c r="M60" s="41">
        <f>IFERROR(E60/D60,"")</f>
        <v/>
      </c>
      <c r="N60" s="41">
        <f>IFERROR(F60/D60,"")</f>
        <v/>
      </c>
      <c r="O60" s="42">
        <f>IFERROR(N60/M60,"")</f>
        <v/>
      </c>
      <c r="P60" s="36">
        <f>IFERROR(C60/F60,"")</f>
        <v/>
      </c>
      <c r="Q60" s="42">
        <f>IFERROR(G60/F60,"")</f>
        <v/>
      </c>
      <c r="R60" s="43">
        <f>IFERROR(H60/G60,"")</f>
        <v/>
      </c>
      <c r="S60" s="42">
        <f>IFERROR(I60/H60,"")</f>
        <v/>
      </c>
      <c r="T60" s="42">
        <f>IFERROR(J60/I60,"")</f>
        <v/>
      </c>
      <c r="U60" s="37">
        <f>IFERROR(K60/C60,"")</f>
        <v/>
      </c>
      <c r="V60" s="36">
        <f>IFERROR(C60/J60,"")</f>
        <v/>
      </c>
      <c r="W60" s="36">
        <f>IFERROR(K60/J60,"")</f>
        <v/>
      </c>
      <c r="X60" s="37">
        <f>IFERROR(INDEX('Client Economics'!$J$5:$J$34,MATCH(B60,'Client Economics'!$A$5:$A$34,0)),"")</f>
        <v/>
      </c>
      <c r="Y60" s="37">
        <f>IFERROR(U60/X60,"")</f>
        <v/>
      </c>
      <c r="Z60" s="44">
        <f>IF(D60="","",IF(N(M60)&lt;'KPI Benchmarks'!$D$5,"Attention",IF(N(O60)&lt;'KPI Benchmarks'!$D$6,"Interest",IF(N(Q60)&lt;'KPI Benchmarks'!$D$8,"Page load",IF(N(R60)&lt;'KPI Benchmarks'!$D$9,"Buying intent",IF(N(S60)&lt;'KPI Benchmarks'!$D$10,"Cart",IF(N(T60)&lt;'KPI Benchmarks'!$D$11,"Checkout",IF(X60="","Add economics",IF(N(Y60)&lt;'KPI Benchmarks'!$D$12,"Economics","Healthy – scale")))))))))</f>
        <v/>
      </c>
      <c r="AA60" s="27">
        <f>IF(Z60="","",IF(Z60="Healthy – scale","All stages pass. Add $10–20/day or a new audience; test new creatives beside the main campaign.",IF(Z60="Add economics","Add this client to Client Economics.",IFERROR(INDEX('KPI Benchmarks'!$G$5:$G$12,MATCH(Z60,'KPI Benchmarks'!$A$5:$A$12,0)),""))))</f>
        <v/>
      </c>
      <c r="AB60" s="13" t="n"/>
    </row>
    <row r="61">
      <c r="A61" s="14" t="n"/>
      <c r="B61" s="13" t="n"/>
      <c r="C61" s="34" t="n"/>
      <c r="D61" s="40" t="n"/>
      <c r="E61" s="40" t="n"/>
      <c r="F61" s="40" t="n"/>
      <c r="G61" s="40" t="n"/>
      <c r="H61" s="40" t="n"/>
      <c r="I61" s="40" t="n"/>
      <c r="J61" s="40" t="n"/>
      <c r="K61" s="34" t="n"/>
      <c r="L61" s="36">
        <f>IFERROR(C61/D61*1000,"")</f>
        <v/>
      </c>
      <c r="M61" s="41">
        <f>IFERROR(E61/D61,"")</f>
        <v/>
      </c>
      <c r="N61" s="41">
        <f>IFERROR(F61/D61,"")</f>
        <v/>
      </c>
      <c r="O61" s="42">
        <f>IFERROR(N61/M61,"")</f>
        <v/>
      </c>
      <c r="P61" s="36">
        <f>IFERROR(C61/F61,"")</f>
        <v/>
      </c>
      <c r="Q61" s="42">
        <f>IFERROR(G61/F61,"")</f>
        <v/>
      </c>
      <c r="R61" s="43">
        <f>IFERROR(H61/G61,"")</f>
        <v/>
      </c>
      <c r="S61" s="42">
        <f>IFERROR(I61/H61,"")</f>
        <v/>
      </c>
      <c r="T61" s="42">
        <f>IFERROR(J61/I61,"")</f>
        <v/>
      </c>
      <c r="U61" s="37">
        <f>IFERROR(K61/C61,"")</f>
        <v/>
      </c>
      <c r="V61" s="36">
        <f>IFERROR(C61/J61,"")</f>
        <v/>
      </c>
      <c r="W61" s="36">
        <f>IFERROR(K61/J61,"")</f>
        <v/>
      </c>
      <c r="X61" s="37">
        <f>IFERROR(INDEX('Client Economics'!$J$5:$J$34,MATCH(B61,'Client Economics'!$A$5:$A$34,0)),"")</f>
        <v/>
      </c>
      <c r="Y61" s="37">
        <f>IFERROR(U61/X61,"")</f>
        <v/>
      </c>
      <c r="Z61" s="44">
        <f>IF(D61="","",IF(N(M61)&lt;'KPI Benchmarks'!$D$5,"Attention",IF(N(O61)&lt;'KPI Benchmarks'!$D$6,"Interest",IF(N(Q61)&lt;'KPI Benchmarks'!$D$8,"Page load",IF(N(R61)&lt;'KPI Benchmarks'!$D$9,"Buying intent",IF(N(S61)&lt;'KPI Benchmarks'!$D$10,"Cart",IF(N(T61)&lt;'KPI Benchmarks'!$D$11,"Checkout",IF(X61="","Add economics",IF(N(Y61)&lt;'KPI Benchmarks'!$D$12,"Economics","Healthy – scale")))))))))</f>
        <v/>
      </c>
      <c r="AA61" s="27">
        <f>IF(Z61="","",IF(Z61="Healthy – scale","All stages pass. Add $10–20/day or a new audience; test new creatives beside the main campaign.",IF(Z61="Add economics","Add this client to Client Economics.",IFERROR(INDEX('KPI Benchmarks'!$G$5:$G$12,MATCH(Z61,'KPI Benchmarks'!$A$5:$A$12,0)),""))))</f>
        <v/>
      </c>
      <c r="AB61" s="13" t="n"/>
    </row>
    <row r="62">
      <c r="A62" s="14" t="n"/>
      <c r="B62" s="13" t="n"/>
      <c r="C62" s="34" t="n"/>
      <c r="D62" s="40" t="n"/>
      <c r="E62" s="40" t="n"/>
      <c r="F62" s="40" t="n"/>
      <c r="G62" s="40" t="n"/>
      <c r="H62" s="40" t="n"/>
      <c r="I62" s="40" t="n"/>
      <c r="J62" s="40" t="n"/>
      <c r="K62" s="34" t="n"/>
      <c r="L62" s="36">
        <f>IFERROR(C62/D62*1000,"")</f>
        <v/>
      </c>
      <c r="M62" s="41">
        <f>IFERROR(E62/D62,"")</f>
        <v/>
      </c>
      <c r="N62" s="41">
        <f>IFERROR(F62/D62,"")</f>
        <v/>
      </c>
      <c r="O62" s="42">
        <f>IFERROR(N62/M62,"")</f>
        <v/>
      </c>
      <c r="P62" s="36">
        <f>IFERROR(C62/F62,"")</f>
        <v/>
      </c>
      <c r="Q62" s="42">
        <f>IFERROR(G62/F62,"")</f>
        <v/>
      </c>
      <c r="R62" s="43">
        <f>IFERROR(H62/G62,"")</f>
        <v/>
      </c>
      <c r="S62" s="42">
        <f>IFERROR(I62/H62,"")</f>
        <v/>
      </c>
      <c r="T62" s="42">
        <f>IFERROR(J62/I62,"")</f>
        <v/>
      </c>
      <c r="U62" s="37">
        <f>IFERROR(K62/C62,"")</f>
        <v/>
      </c>
      <c r="V62" s="36">
        <f>IFERROR(C62/J62,"")</f>
        <v/>
      </c>
      <c r="W62" s="36">
        <f>IFERROR(K62/J62,"")</f>
        <v/>
      </c>
      <c r="X62" s="37">
        <f>IFERROR(INDEX('Client Economics'!$J$5:$J$34,MATCH(B62,'Client Economics'!$A$5:$A$34,0)),"")</f>
        <v/>
      </c>
      <c r="Y62" s="37">
        <f>IFERROR(U62/X62,"")</f>
        <v/>
      </c>
      <c r="Z62" s="44">
        <f>IF(D62="","",IF(N(M62)&lt;'KPI Benchmarks'!$D$5,"Attention",IF(N(O62)&lt;'KPI Benchmarks'!$D$6,"Interest",IF(N(Q62)&lt;'KPI Benchmarks'!$D$8,"Page load",IF(N(R62)&lt;'KPI Benchmarks'!$D$9,"Buying intent",IF(N(S62)&lt;'KPI Benchmarks'!$D$10,"Cart",IF(N(T62)&lt;'KPI Benchmarks'!$D$11,"Checkout",IF(X62="","Add economics",IF(N(Y62)&lt;'KPI Benchmarks'!$D$12,"Economics","Healthy – scale")))))))))</f>
        <v/>
      </c>
      <c r="AA62" s="27">
        <f>IF(Z62="","",IF(Z62="Healthy – scale","All stages pass. Add $10–20/day or a new audience; test new creatives beside the main campaign.",IF(Z62="Add economics","Add this client to Client Economics.",IFERROR(INDEX('KPI Benchmarks'!$G$5:$G$12,MATCH(Z62,'KPI Benchmarks'!$A$5:$A$12,0)),""))))</f>
        <v/>
      </c>
      <c r="AB62" s="13" t="n"/>
    </row>
    <row r="63">
      <c r="A63" s="14" t="n"/>
      <c r="B63" s="13" t="n"/>
      <c r="C63" s="34" t="n"/>
      <c r="D63" s="40" t="n"/>
      <c r="E63" s="40" t="n"/>
      <c r="F63" s="40" t="n"/>
      <c r="G63" s="40" t="n"/>
      <c r="H63" s="40" t="n"/>
      <c r="I63" s="40" t="n"/>
      <c r="J63" s="40" t="n"/>
      <c r="K63" s="34" t="n"/>
      <c r="L63" s="36">
        <f>IFERROR(C63/D63*1000,"")</f>
        <v/>
      </c>
      <c r="M63" s="41">
        <f>IFERROR(E63/D63,"")</f>
        <v/>
      </c>
      <c r="N63" s="41">
        <f>IFERROR(F63/D63,"")</f>
        <v/>
      </c>
      <c r="O63" s="42">
        <f>IFERROR(N63/M63,"")</f>
        <v/>
      </c>
      <c r="P63" s="36">
        <f>IFERROR(C63/F63,"")</f>
        <v/>
      </c>
      <c r="Q63" s="42">
        <f>IFERROR(G63/F63,"")</f>
        <v/>
      </c>
      <c r="R63" s="43">
        <f>IFERROR(H63/G63,"")</f>
        <v/>
      </c>
      <c r="S63" s="42">
        <f>IFERROR(I63/H63,"")</f>
        <v/>
      </c>
      <c r="T63" s="42">
        <f>IFERROR(J63/I63,"")</f>
        <v/>
      </c>
      <c r="U63" s="37">
        <f>IFERROR(K63/C63,"")</f>
        <v/>
      </c>
      <c r="V63" s="36">
        <f>IFERROR(C63/J63,"")</f>
        <v/>
      </c>
      <c r="W63" s="36">
        <f>IFERROR(K63/J63,"")</f>
        <v/>
      </c>
      <c r="X63" s="37">
        <f>IFERROR(INDEX('Client Economics'!$J$5:$J$34,MATCH(B63,'Client Economics'!$A$5:$A$34,0)),"")</f>
        <v/>
      </c>
      <c r="Y63" s="37">
        <f>IFERROR(U63/X63,"")</f>
        <v/>
      </c>
      <c r="Z63" s="44">
        <f>IF(D63="","",IF(N(M63)&lt;'KPI Benchmarks'!$D$5,"Attention",IF(N(O63)&lt;'KPI Benchmarks'!$D$6,"Interest",IF(N(Q63)&lt;'KPI Benchmarks'!$D$8,"Page load",IF(N(R63)&lt;'KPI Benchmarks'!$D$9,"Buying intent",IF(N(S63)&lt;'KPI Benchmarks'!$D$10,"Cart",IF(N(T63)&lt;'KPI Benchmarks'!$D$11,"Checkout",IF(X63="","Add economics",IF(N(Y63)&lt;'KPI Benchmarks'!$D$12,"Economics","Healthy – scale")))))))))</f>
        <v/>
      </c>
      <c r="AA63" s="27">
        <f>IF(Z63="","",IF(Z63="Healthy – scale","All stages pass. Add $10–20/day or a new audience; test new creatives beside the main campaign.",IF(Z63="Add economics","Add this client to Client Economics.",IFERROR(INDEX('KPI Benchmarks'!$G$5:$G$12,MATCH(Z63,'KPI Benchmarks'!$A$5:$A$12,0)),""))))</f>
        <v/>
      </c>
      <c r="AB63" s="13" t="n"/>
    </row>
    <row r="64">
      <c r="A64" s="14" t="n"/>
      <c r="B64" s="13" t="n"/>
      <c r="C64" s="34" t="n"/>
      <c r="D64" s="40" t="n"/>
      <c r="E64" s="40" t="n"/>
      <c r="F64" s="40" t="n"/>
      <c r="G64" s="40" t="n"/>
      <c r="H64" s="40" t="n"/>
      <c r="I64" s="40" t="n"/>
      <c r="J64" s="40" t="n"/>
      <c r="K64" s="34" t="n"/>
      <c r="L64" s="36">
        <f>IFERROR(C64/D64*1000,"")</f>
        <v/>
      </c>
      <c r="M64" s="41">
        <f>IFERROR(E64/D64,"")</f>
        <v/>
      </c>
      <c r="N64" s="41">
        <f>IFERROR(F64/D64,"")</f>
        <v/>
      </c>
      <c r="O64" s="42">
        <f>IFERROR(N64/M64,"")</f>
        <v/>
      </c>
      <c r="P64" s="36">
        <f>IFERROR(C64/F64,"")</f>
        <v/>
      </c>
      <c r="Q64" s="42">
        <f>IFERROR(G64/F64,"")</f>
        <v/>
      </c>
      <c r="R64" s="43">
        <f>IFERROR(H64/G64,"")</f>
        <v/>
      </c>
      <c r="S64" s="42">
        <f>IFERROR(I64/H64,"")</f>
        <v/>
      </c>
      <c r="T64" s="42">
        <f>IFERROR(J64/I64,"")</f>
        <v/>
      </c>
      <c r="U64" s="37">
        <f>IFERROR(K64/C64,"")</f>
        <v/>
      </c>
      <c r="V64" s="36">
        <f>IFERROR(C64/J64,"")</f>
        <v/>
      </c>
      <c r="W64" s="36">
        <f>IFERROR(K64/J64,"")</f>
        <v/>
      </c>
      <c r="X64" s="37">
        <f>IFERROR(INDEX('Client Economics'!$J$5:$J$34,MATCH(B64,'Client Economics'!$A$5:$A$34,0)),"")</f>
        <v/>
      </c>
      <c r="Y64" s="37">
        <f>IFERROR(U64/X64,"")</f>
        <v/>
      </c>
      <c r="Z64" s="44">
        <f>IF(D64="","",IF(N(M64)&lt;'KPI Benchmarks'!$D$5,"Attention",IF(N(O64)&lt;'KPI Benchmarks'!$D$6,"Interest",IF(N(Q64)&lt;'KPI Benchmarks'!$D$8,"Page load",IF(N(R64)&lt;'KPI Benchmarks'!$D$9,"Buying intent",IF(N(S64)&lt;'KPI Benchmarks'!$D$10,"Cart",IF(N(T64)&lt;'KPI Benchmarks'!$D$11,"Checkout",IF(X64="","Add economics",IF(N(Y64)&lt;'KPI Benchmarks'!$D$12,"Economics","Healthy – scale")))))))))</f>
        <v/>
      </c>
      <c r="AA64" s="27">
        <f>IF(Z64="","",IF(Z64="Healthy – scale","All stages pass. Add $10–20/day or a new audience; test new creatives beside the main campaign.",IF(Z64="Add economics","Add this client to Client Economics.",IFERROR(INDEX('KPI Benchmarks'!$G$5:$G$12,MATCH(Z64,'KPI Benchmarks'!$A$5:$A$12,0)),""))))</f>
        <v/>
      </c>
      <c r="AB64" s="13" t="n"/>
    </row>
    <row r="65">
      <c r="A65" s="14" t="n"/>
      <c r="B65" s="13" t="n"/>
      <c r="C65" s="34" t="n"/>
      <c r="D65" s="40" t="n"/>
      <c r="E65" s="40" t="n"/>
      <c r="F65" s="40" t="n"/>
      <c r="G65" s="40" t="n"/>
      <c r="H65" s="40" t="n"/>
      <c r="I65" s="40" t="n"/>
      <c r="J65" s="40" t="n"/>
      <c r="K65" s="34" t="n"/>
      <c r="L65" s="36">
        <f>IFERROR(C65/D65*1000,"")</f>
        <v/>
      </c>
      <c r="M65" s="41">
        <f>IFERROR(E65/D65,"")</f>
        <v/>
      </c>
      <c r="N65" s="41">
        <f>IFERROR(F65/D65,"")</f>
        <v/>
      </c>
      <c r="O65" s="42">
        <f>IFERROR(N65/M65,"")</f>
        <v/>
      </c>
      <c r="P65" s="36">
        <f>IFERROR(C65/F65,"")</f>
        <v/>
      </c>
      <c r="Q65" s="42">
        <f>IFERROR(G65/F65,"")</f>
        <v/>
      </c>
      <c r="R65" s="43">
        <f>IFERROR(H65/G65,"")</f>
        <v/>
      </c>
      <c r="S65" s="42">
        <f>IFERROR(I65/H65,"")</f>
        <v/>
      </c>
      <c r="T65" s="42">
        <f>IFERROR(J65/I65,"")</f>
        <v/>
      </c>
      <c r="U65" s="37">
        <f>IFERROR(K65/C65,"")</f>
        <v/>
      </c>
      <c r="V65" s="36">
        <f>IFERROR(C65/J65,"")</f>
        <v/>
      </c>
      <c r="W65" s="36">
        <f>IFERROR(K65/J65,"")</f>
        <v/>
      </c>
      <c r="X65" s="37">
        <f>IFERROR(INDEX('Client Economics'!$J$5:$J$34,MATCH(B65,'Client Economics'!$A$5:$A$34,0)),"")</f>
        <v/>
      </c>
      <c r="Y65" s="37">
        <f>IFERROR(U65/X65,"")</f>
        <v/>
      </c>
      <c r="Z65" s="44">
        <f>IF(D65="","",IF(N(M65)&lt;'KPI Benchmarks'!$D$5,"Attention",IF(N(O65)&lt;'KPI Benchmarks'!$D$6,"Interest",IF(N(Q65)&lt;'KPI Benchmarks'!$D$8,"Page load",IF(N(R65)&lt;'KPI Benchmarks'!$D$9,"Buying intent",IF(N(S65)&lt;'KPI Benchmarks'!$D$10,"Cart",IF(N(T65)&lt;'KPI Benchmarks'!$D$11,"Checkout",IF(X65="","Add economics",IF(N(Y65)&lt;'KPI Benchmarks'!$D$12,"Economics","Healthy – scale")))))))))</f>
        <v/>
      </c>
      <c r="AA65" s="27">
        <f>IF(Z65="","",IF(Z65="Healthy – scale","All stages pass. Add $10–20/day or a new audience; test new creatives beside the main campaign.",IF(Z65="Add economics","Add this client to Client Economics.",IFERROR(INDEX('KPI Benchmarks'!$G$5:$G$12,MATCH(Z65,'KPI Benchmarks'!$A$5:$A$12,0)),""))))</f>
        <v/>
      </c>
      <c r="AB65" s="13" t="n"/>
    </row>
    <row r="66">
      <c r="A66" s="14" t="n"/>
      <c r="B66" s="13" t="n"/>
      <c r="C66" s="34" t="n"/>
      <c r="D66" s="40" t="n"/>
      <c r="E66" s="40" t="n"/>
      <c r="F66" s="40" t="n"/>
      <c r="G66" s="40" t="n"/>
      <c r="H66" s="40" t="n"/>
      <c r="I66" s="40" t="n"/>
      <c r="J66" s="40" t="n"/>
      <c r="K66" s="34" t="n"/>
      <c r="L66" s="36">
        <f>IFERROR(C66/D66*1000,"")</f>
        <v/>
      </c>
      <c r="M66" s="41">
        <f>IFERROR(E66/D66,"")</f>
        <v/>
      </c>
      <c r="N66" s="41">
        <f>IFERROR(F66/D66,"")</f>
        <v/>
      </c>
      <c r="O66" s="42">
        <f>IFERROR(N66/M66,"")</f>
        <v/>
      </c>
      <c r="P66" s="36">
        <f>IFERROR(C66/F66,"")</f>
        <v/>
      </c>
      <c r="Q66" s="42">
        <f>IFERROR(G66/F66,"")</f>
        <v/>
      </c>
      <c r="R66" s="43">
        <f>IFERROR(H66/G66,"")</f>
        <v/>
      </c>
      <c r="S66" s="42">
        <f>IFERROR(I66/H66,"")</f>
        <v/>
      </c>
      <c r="T66" s="42">
        <f>IFERROR(J66/I66,"")</f>
        <v/>
      </c>
      <c r="U66" s="37">
        <f>IFERROR(K66/C66,"")</f>
        <v/>
      </c>
      <c r="V66" s="36">
        <f>IFERROR(C66/J66,"")</f>
        <v/>
      </c>
      <c r="W66" s="36">
        <f>IFERROR(K66/J66,"")</f>
        <v/>
      </c>
      <c r="X66" s="37">
        <f>IFERROR(INDEX('Client Economics'!$J$5:$J$34,MATCH(B66,'Client Economics'!$A$5:$A$34,0)),"")</f>
        <v/>
      </c>
      <c r="Y66" s="37">
        <f>IFERROR(U66/X66,"")</f>
        <v/>
      </c>
      <c r="Z66" s="44">
        <f>IF(D66="","",IF(N(M66)&lt;'KPI Benchmarks'!$D$5,"Attention",IF(N(O66)&lt;'KPI Benchmarks'!$D$6,"Interest",IF(N(Q66)&lt;'KPI Benchmarks'!$D$8,"Page load",IF(N(R66)&lt;'KPI Benchmarks'!$D$9,"Buying intent",IF(N(S66)&lt;'KPI Benchmarks'!$D$10,"Cart",IF(N(T66)&lt;'KPI Benchmarks'!$D$11,"Checkout",IF(X66="","Add economics",IF(N(Y66)&lt;'KPI Benchmarks'!$D$12,"Economics","Healthy – scale")))))))))</f>
        <v/>
      </c>
      <c r="AA66" s="27">
        <f>IF(Z66="","",IF(Z66="Healthy – scale","All stages pass. Add $10–20/day or a new audience; test new creatives beside the main campaign.",IF(Z66="Add economics","Add this client to Client Economics.",IFERROR(INDEX('KPI Benchmarks'!$G$5:$G$12,MATCH(Z66,'KPI Benchmarks'!$A$5:$A$12,0)),""))))</f>
        <v/>
      </c>
      <c r="AB66" s="13" t="n"/>
    </row>
    <row r="67">
      <c r="A67" s="14" t="n"/>
      <c r="B67" s="13" t="n"/>
      <c r="C67" s="34" t="n"/>
      <c r="D67" s="40" t="n"/>
      <c r="E67" s="40" t="n"/>
      <c r="F67" s="40" t="n"/>
      <c r="G67" s="40" t="n"/>
      <c r="H67" s="40" t="n"/>
      <c r="I67" s="40" t="n"/>
      <c r="J67" s="40" t="n"/>
      <c r="K67" s="34" t="n"/>
      <c r="L67" s="36">
        <f>IFERROR(C67/D67*1000,"")</f>
        <v/>
      </c>
      <c r="M67" s="41">
        <f>IFERROR(E67/D67,"")</f>
        <v/>
      </c>
      <c r="N67" s="41">
        <f>IFERROR(F67/D67,"")</f>
        <v/>
      </c>
      <c r="O67" s="42">
        <f>IFERROR(N67/M67,"")</f>
        <v/>
      </c>
      <c r="P67" s="36">
        <f>IFERROR(C67/F67,"")</f>
        <v/>
      </c>
      <c r="Q67" s="42">
        <f>IFERROR(G67/F67,"")</f>
        <v/>
      </c>
      <c r="R67" s="43">
        <f>IFERROR(H67/G67,"")</f>
        <v/>
      </c>
      <c r="S67" s="42">
        <f>IFERROR(I67/H67,"")</f>
        <v/>
      </c>
      <c r="T67" s="42">
        <f>IFERROR(J67/I67,"")</f>
        <v/>
      </c>
      <c r="U67" s="37">
        <f>IFERROR(K67/C67,"")</f>
        <v/>
      </c>
      <c r="V67" s="36">
        <f>IFERROR(C67/J67,"")</f>
        <v/>
      </c>
      <c r="W67" s="36">
        <f>IFERROR(K67/J67,"")</f>
        <v/>
      </c>
      <c r="X67" s="37">
        <f>IFERROR(INDEX('Client Economics'!$J$5:$J$34,MATCH(B67,'Client Economics'!$A$5:$A$34,0)),"")</f>
        <v/>
      </c>
      <c r="Y67" s="37">
        <f>IFERROR(U67/X67,"")</f>
        <v/>
      </c>
      <c r="Z67" s="44">
        <f>IF(D67="","",IF(N(M67)&lt;'KPI Benchmarks'!$D$5,"Attention",IF(N(O67)&lt;'KPI Benchmarks'!$D$6,"Interest",IF(N(Q67)&lt;'KPI Benchmarks'!$D$8,"Page load",IF(N(R67)&lt;'KPI Benchmarks'!$D$9,"Buying intent",IF(N(S67)&lt;'KPI Benchmarks'!$D$10,"Cart",IF(N(T67)&lt;'KPI Benchmarks'!$D$11,"Checkout",IF(X67="","Add economics",IF(N(Y67)&lt;'KPI Benchmarks'!$D$12,"Economics","Healthy – scale")))))))))</f>
        <v/>
      </c>
      <c r="AA67" s="27">
        <f>IF(Z67="","",IF(Z67="Healthy – scale","All stages pass. Add $10–20/day or a new audience; test new creatives beside the main campaign.",IF(Z67="Add economics","Add this client to Client Economics.",IFERROR(INDEX('KPI Benchmarks'!$G$5:$G$12,MATCH(Z67,'KPI Benchmarks'!$A$5:$A$12,0)),""))))</f>
        <v/>
      </c>
      <c r="AB67" s="13" t="n"/>
    </row>
    <row r="68">
      <c r="A68" s="14" t="n"/>
      <c r="B68" s="13" t="n"/>
      <c r="C68" s="34" t="n"/>
      <c r="D68" s="40" t="n"/>
      <c r="E68" s="40" t="n"/>
      <c r="F68" s="40" t="n"/>
      <c r="G68" s="40" t="n"/>
      <c r="H68" s="40" t="n"/>
      <c r="I68" s="40" t="n"/>
      <c r="J68" s="40" t="n"/>
      <c r="K68" s="34" t="n"/>
      <c r="L68" s="36">
        <f>IFERROR(C68/D68*1000,"")</f>
        <v/>
      </c>
      <c r="M68" s="41">
        <f>IFERROR(E68/D68,"")</f>
        <v/>
      </c>
      <c r="N68" s="41">
        <f>IFERROR(F68/D68,"")</f>
        <v/>
      </c>
      <c r="O68" s="42">
        <f>IFERROR(N68/M68,"")</f>
        <v/>
      </c>
      <c r="P68" s="36">
        <f>IFERROR(C68/F68,"")</f>
        <v/>
      </c>
      <c r="Q68" s="42">
        <f>IFERROR(G68/F68,"")</f>
        <v/>
      </c>
      <c r="R68" s="43">
        <f>IFERROR(H68/G68,"")</f>
        <v/>
      </c>
      <c r="S68" s="42">
        <f>IFERROR(I68/H68,"")</f>
        <v/>
      </c>
      <c r="T68" s="42">
        <f>IFERROR(J68/I68,"")</f>
        <v/>
      </c>
      <c r="U68" s="37">
        <f>IFERROR(K68/C68,"")</f>
        <v/>
      </c>
      <c r="V68" s="36">
        <f>IFERROR(C68/J68,"")</f>
        <v/>
      </c>
      <c r="W68" s="36">
        <f>IFERROR(K68/J68,"")</f>
        <v/>
      </c>
      <c r="X68" s="37">
        <f>IFERROR(INDEX('Client Economics'!$J$5:$J$34,MATCH(B68,'Client Economics'!$A$5:$A$34,0)),"")</f>
        <v/>
      </c>
      <c r="Y68" s="37">
        <f>IFERROR(U68/X68,"")</f>
        <v/>
      </c>
      <c r="Z68" s="44">
        <f>IF(D68="","",IF(N(M68)&lt;'KPI Benchmarks'!$D$5,"Attention",IF(N(O68)&lt;'KPI Benchmarks'!$D$6,"Interest",IF(N(Q68)&lt;'KPI Benchmarks'!$D$8,"Page load",IF(N(R68)&lt;'KPI Benchmarks'!$D$9,"Buying intent",IF(N(S68)&lt;'KPI Benchmarks'!$D$10,"Cart",IF(N(T68)&lt;'KPI Benchmarks'!$D$11,"Checkout",IF(X68="","Add economics",IF(N(Y68)&lt;'KPI Benchmarks'!$D$12,"Economics","Healthy – scale")))))))))</f>
        <v/>
      </c>
      <c r="AA68" s="27">
        <f>IF(Z68="","",IF(Z68="Healthy – scale","All stages pass. Add $10–20/day or a new audience; test new creatives beside the main campaign.",IF(Z68="Add economics","Add this client to Client Economics.",IFERROR(INDEX('KPI Benchmarks'!$G$5:$G$12,MATCH(Z68,'KPI Benchmarks'!$A$5:$A$12,0)),""))))</f>
        <v/>
      </c>
      <c r="AB68" s="13" t="n"/>
    </row>
    <row r="69">
      <c r="A69" s="14" t="n"/>
      <c r="B69" s="13" t="n"/>
      <c r="C69" s="34" t="n"/>
      <c r="D69" s="40" t="n"/>
      <c r="E69" s="40" t="n"/>
      <c r="F69" s="40" t="n"/>
      <c r="G69" s="40" t="n"/>
      <c r="H69" s="40" t="n"/>
      <c r="I69" s="40" t="n"/>
      <c r="J69" s="40" t="n"/>
      <c r="K69" s="34" t="n"/>
      <c r="L69" s="36">
        <f>IFERROR(C69/D69*1000,"")</f>
        <v/>
      </c>
      <c r="M69" s="41">
        <f>IFERROR(E69/D69,"")</f>
        <v/>
      </c>
      <c r="N69" s="41">
        <f>IFERROR(F69/D69,"")</f>
        <v/>
      </c>
      <c r="O69" s="42">
        <f>IFERROR(N69/M69,"")</f>
        <v/>
      </c>
      <c r="P69" s="36">
        <f>IFERROR(C69/F69,"")</f>
        <v/>
      </c>
      <c r="Q69" s="42">
        <f>IFERROR(G69/F69,"")</f>
        <v/>
      </c>
      <c r="R69" s="43">
        <f>IFERROR(H69/G69,"")</f>
        <v/>
      </c>
      <c r="S69" s="42">
        <f>IFERROR(I69/H69,"")</f>
        <v/>
      </c>
      <c r="T69" s="42">
        <f>IFERROR(J69/I69,"")</f>
        <v/>
      </c>
      <c r="U69" s="37">
        <f>IFERROR(K69/C69,"")</f>
        <v/>
      </c>
      <c r="V69" s="36">
        <f>IFERROR(C69/J69,"")</f>
        <v/>
      </c>
      <c r="W69" s="36">
        <f>IFERROR(K69/J69,"")</f>
        <v/>
      </c>
      <c r="X69" s="37">
        <f>IFERROR(INDEX('Client Economics'!$J$5:$J$34,MATCH(B69,'Client Economics'!$A$5:$A$34,0)),"")</f>
        <v/>
      </c>
      <c r="Y69" s="37">
        <f>IFERROR(U69/X69,"")</f>
        <v/>
      </c>
      <c r="Z69" s="44">
        <f>IF(D69="","",IF(N(M69)&lt;'KPI Benchmarks'!$D$5,"Attention",IF(N(O69)&lt;'KPI Benchmarks'!$D$6,"Interest",IF(N(Q69)&lt;'KPI Benchmarks'!$D$8,"Page load",IF(N(R69)&lt;'KPI Benchmarks'!$D$9,"Buying intent",IF(N(S69)&lt;'KPI Benchmarks'!$D$10,"Cart",IF(N(T69)&lt;'KPI Benchmarks'!$D$11,"Checkout",IF(X69="","Add economics",IF(N(Y69)&lt;'KPI Benchmarks'!$D$12,"Economics","Healthy – scale")))))))))</f>
        <v/>
      </c>
      <c r="AA69" s="27">
        <f>IF(Z69="","",IF(Z69="Healthy – scale","All stages pass. Add $10–20/day or a new audience; test new creatives beside the main campaign.",IF(Z69="Add economics","Add this client to Client Economics.",IFERROR(INDEX('KPI Benchmarks'!$G$5:$G$12,MATCH(Z69,'KPI Benchmarks'!$A$5:$A$12,0)),""))))</f>
        <v/>
      </c>
      <c r="AB69" s="13" t="n"/>
    </row>
    <row r="70">
      <c r="A70" s="14" t="n"/>
      <c r="B70" s="13" t="n"/>
      <c r="C70" s="34" t="n"/>
      <c r="D70" s="40" t="n"/>
      <c r="E70" s="40" t="n"/>
      <c r="F70" s="40" t="n"/>
      <c r="G70" s="40" t="n"/>
      <c r="H70" s="40" t="n"/>
      <c r="I70" s="40" t="n"/>
      <c r="J70" s="40" t="n"/>
      <c r="K70" s="34" t="n"/>
      <c r="L70" s="36">
        <f>IFERROR(C70/D70*1000,"")</f>
        <v/>
      </c>
      <c r="M70" s="41">
        <f>IFERROR(E70/D70,"")</f>
        <v/>
      </c>
      <c r="N70" s="41">
        <f>IFERROR(F70/D70,"")</f>
        <v/>
      </c>
      <c r="O70" s="42">
        <f>IFERROR(N70/M70,"")</f>
        <v/>
      </c>
      <c r="P70" s="36">
        <f>IFERROR(C70/F70,"")</f>
        <v/>
      </c>
      <c r="Q70" s="42">
        <f>IFERROR(G70/F70,"")</f>
        <v/>
      </c>
      <c r="R70" s="43">
        <f>IFERROR(H70/G70,"")</f>
        <v/>
      </c>
      <c r="S70" s="42">
        <f>IFERROR(I70/H70,"")</f>
        <v/>
      </c>
      <c r="T70" s="42">
        <f>IFERROR(J70/I70,"")</f>
        <v/>
      </c>
      <c r="U70" s="37">
        <f>IFERROR(K70/C70,"")</f>
        <v/>
      </c>
      <c r="V70" s="36">
        <f>IFERROR(C70/J70,"")</f>
        <v/>
      </c>
      <c r="W70" s="36">
        <f>IFERROR(K70/J70,"")</f>
        <v/>
      </c>
      <c r="X70" s="37">
        <f>IFERROR(INDEX('Client Economics'!$J$5:$J$34,MATCH(B70,'Client Economics'!$A$5:$A$34,0)),"")</f>
        <v/>
      </c>
      <c r="Y70" s="37">
        <f>IFERROR(U70/X70,"")</f>
        <v/>
      </c>
      <c r="Z70" s="44">
        <f>IF(D70="","",IF(N(M70)&lt;'KPI Benchmarks'!$D$5,"Attention",IF(N(O70)&lt;'KPI Benchmarks'!$D$6,"Interest",IF(N(Q70)&lt;'KPI Benchmarks'!$D$8,"Page load",IF(N(R70)&lt;'KPI Benchmarks'!$D$9,"Buying intent",IF(N(S70)&lt;'KPI Benchmarks'!$D$10,"Cart",IF(N(T70)&lt;'KPI Benchmarks'!$D$11,"Checkout",IF(X70="","Add economics",IF(N(Y70)&lt;'KPI Benchmarks'!$D$12,"Economics","Healthy – scale")))))))))</f>
        <v/>
      </c>
      <c r="AA70" s="27">
        <f>IF(Z70="","",IF(Z70="Healthy – scale","All stages pass. Add $10–20/day or a new audience; test new creatives beside the main campaign.",IF(Z70="Add economics","Add this client to Client Economics.",IFERROR(INDEX('KPI Benchmarks'!$G$5:$G$12,MATCH(Z70,'KPI Benchmarks'!$A$5:$A$12,0)),""))))</f>
        <v/>
      </c>
      <c r="AB70" s="13" t="n"/>
    </row>
    <row r="71">
      <c r="A71" s="14" t="n"/>
      <c r="B71" s="13" t="n"/>
      <c r="C71" s="34" t="n"/>
      <c r="D71" s="40" t="n"/>
      <c r="E71" s="40" t="n"/>
      <c r="F71" s="40" t="n"/>
      <c r="G71" s="40" t="n"/>
      <c r="H71" s="40" t="n"/>
      <c r="I71" s="40" t="n"/>
      <c r="J71" s="40" t="n"/>
      <c r="K71" s="34" t="n"/>
      <c r="L71" s="36">
        <f>IFERROR(C71/D71*1000,"")</f>
        <v/>
      </c>
      <c r="M71" s="41">
        <f>IFERROR(E71/D71,"")</f>
        <v/>
      </c>
      <c r="N71" s="41">
        <f>IFERROR(F71/D71,"")</f>
        <v/>
      </c>
      <c r="O71" s="42">
        <f>IFERROR(N71/M71,"")</f>
        <v/>
      </c>
      <c r="P71" s="36">
        <f>IFERROR(C71/F71,"")</f>
        <v/>
      </c>
      <c r="Q71" s="42">
        <f>IFERROR(G71/F71,"")</f>
        <v/>
      </c>
      <c r="R71" s="43">
        <f>IFERROR(H71/G71,"")</f>
        <v/>
      </c>
      <c r="S71" s="42">
        <f>IFERROR(I71/H71,"")</f>
        <v/>
      </c>
      <c r="T71" s="42">
        <f>IFERROR(J71/I71,"")</f>
        <v/>
      </c>
      <c r="U71" s="37">
        <f>IFERROR(K71/C71,"")</f>
        <v/>
      </c>
      <c r="V71" s="36">
        <f>IFERROR(C71/J71,"")</f>
        <v/>
      </c>
      <c r="W71" s="36">
        <f>IFERROR(K71/J71,"")</f>
        <v/>
      </c>
      <c r="X71" s="37">
        <f>IFERROR(INDEX('Client Economics'!$J$5:$J$34,MATCH(B71,'Client Economics'!$A$5:$A$34,0)),"")</f>
        <v/>
      </c>
      <c r="Y71" s="37">
        <f>IFERROR(U71/X71,"")</f>
        <v/>
      </c>
      <c r="Z71" s="44">
        <f>IF(D71="","",IF(N(M71)&lt;'KPI Benchmarks'!$D$5,"Attention",IF(N(O71)&lt;'KPI Benchmarks'!$D$6,"Interest",IF(N(Q71)&lt;'KPI Benchmarks'!$D$8,"Page load",IF(N(R71)&lt;'KPI Benchmarks'!$D$9,"Buying intent",IF(N(S71)&lt;'KPI Benchmarks'!$D$10,"Cart",IF(N(T71)&lt;'KPI Benchmarks'!$D$11,"Checkout",IF(X71="","Add economics",IF(N(Y71)&lt;'KPI Benchmarks'!$D$12,"Economics","Healthy – scale")))))))))</f>
        <v/>
      </c>
      <c r="AA71" s="27">
        <f>IF(Z71="","",IF(Z71="Healthy – scale","All stages pass. Add $10–20/day or a new audience; test new creatives beside the main campaign.",IF(Z71="Add economics","Add this client to Client Economics.",IFERROR(INDEX('KPI Benchmarks'!$G$5:$G$12,MATCH(Z71,'KPI Benchmarks'!$A$5:$A$12,0)),""))))</f>
        <v/>
      </c>
      <c r="AB71" s="13" t="n"/>
    </row>
    <row r="72">
      <c r="A72" s="14" t="n"/>
      <c r="B72" s="13" t="n"/>
      <c r="C72" s="34" t="n"/>
      <c r="D72" s="40" t="n"/>
      <c r="E72" s="40" t="n"/>
      <c r="F72" s="40" t="n"/>
      <c r="G72" s="40" t="n"/>
      <c r="H72" s="40" t="n"/>
      <c r="I72" s="40" t="n"/>
      <c r="J72" s="40" t="n"/>
      <c r="K72" s="34" t="n"/>
      <c r="L72" s="36">
        <f>IFERROR(C72/D72*1000,"")</f>
        <v/>
      </c>
      <c r="M72" s="41">
        <f>IFERROR(E72/D72,"")</f>
        <v/>
      </c>
      <c r="N72" s="41">
        <f>IFERROR(F72/D72,"")</f>
        <v/>
      </c>
      <c r="O72" s="42">
        <f>IFERROR(N72/M72,"")</f>
        <v/>
      </c>
      <c r="P72" s="36">
        <f>IFERROR(C72/F72,"")</f>
        <v/>
      </c>
      <c r="Q72" s="42">
        <f>IFERROR(G72/F72,"")</f>
        <v/>
      </c>
      <c r="R72" s="43">
        <f>IFERROR(H72/G72,"")</f>
        <v/>
      </c>
      <c r="S72" s="42">
        <f>IFERROR(I72/H72,"")</f>
        <v/>
      </c>
      <c r="T72" s="42">
        <f>IFERROR(J72/I72,"")</f>
        <v/>
      </c>
      <c r="U72" s="37">
        <f>IFERROR(K72/C72,"")</f>
        <v/>
      </c>
      <c r="V72" s="36">
        <f>IFERROR(C72/J72,"")</f>
        <v/>
      </c>
      <c r="W72" s="36">
        <f>IFERROR(K72/J72,"")</f>
        <v/>
      </c>
      <c r="X72" s="37">
        <f>IFERROR(INDEX('Client Economics'!$J$5:$J$34,MATCH(B72,'Client Economics'!$A$5:$A$34,0)),"")</f>
        <v/>
      </c>
      <c r="Y72" s="37">
        <f>IFERROR(U72/X72,"")</f>
        <v/>
      </c>
      <c r="Z72" s="44">
        <f>IF(D72="","",IF(N(M72)&lt;'KPI Benchmarks'!$D$5,"Attention",IF(N(O72)&lt;'KPI Benchmarks'!$D$6,"Interest",IF(N(Q72)&lt;'KPI Benchmarks'!$D$8,"Page load",IF(N(R72)&lt;'KPI Benchmarks'!$D$9,"Buying intent",IF(N(S72)&lt;'KPI Benchmarks'!$D$10,"Cart",IF(N(T72)&lt;'KPI Benchmarks'!$D$11,"Checkout",IF(X72="","Add economics",IF(N(Y72)&lt;'KPI Benchmarks'!$D$12,"Economics","Healthy – scale")))))))))</f>
        <v/>
      </c>
      <c r="AA72" s="27">
        <f>IF(Z72="","",IF(Z72="Healthy – scale","All stages pass. Add $10–20/day or a new audience; test new creatives beside the main campaign.",IF(Z72="Add economics","Add this client to Client Economics.",IFERROR(INDEX('KPI Benchmarks'!$G$5:$G$12,MATCH(Z72,'KPI Benchmarks'!$A$5:$A$12,0)),""))))</f>
        <v/>
      </c>
      <c r="AB72" s="13" t="n"/>
    </row>
    <row r="73">
      <c r="A73" s="14" t="n"/>
      <c r="B73" s="13" t="n"/>
      <c r="C73" s="34" t="n"/>
      <c r="D73" s="40" t="n"/>
      <c r="E73" s="40" t="n"/>
      <c r="F73" s="40" t="n"/>
      <c r="G73" s="40" t="n"/>
      <c r="H73" s="40" t="n"/>
      <c r="I73" s="40" t="n"/>
      <c r="J73" s="40" t="n"/>
      <c r="K73" s="34" t="n"/>
      <c r="L73" s="36">
        <f>IFERROR(C73/D73*1000,"")</f>
        <v/>
      </c>
      <c r="M73" s="41">
        <f>IFERROR(E73/D73,"")</f>
        <v/>
      </c>
      <c r="N73" s="41">
        <f>IFERROR(F73/D73,"")</f>
        <v/>
      </c>
      <c r="O73" s="42">
        <f>IFERROR(N73/M73,"")</f>
        <v/>
      </c>
      <c r="P73" s="36">
        <f>IFERROR(C73/F73,"")</f>
        <v/>
      </c>
      <c r="Q73" s="42">
        <f>IFERROR(G73/F73,"")</f>
        <v/>
      </c>
      <c r="R73" s="43">
        <f>IFERROR(H73/G73,"")</f>
        <v/>
      </c>
      <c r="S73" s="42">
        <f>IFERROR(I73/H73,"")</f>
        <v/>
      </c>
      <c r="T73" s="42">
        <f>IFERROR(J73/I73,"")</f>
        <v/>
      </c>
      <c r="U73" s="37">
        <f>IFERROR(K73/C73,"")</f>
        <v/>
      </c>
      <c r="V73" s="36">
        <f>IFERROR(C73/J73,"")</f>
        <v/>
      </c>
      <c r="W73" s="36">
        <f>IFERROR(K73/J73,"")</f>
        <v/>
      </c>
      <c r="X73" s="37">
        <f>IFERROR(INDEX('Client Economics'!$J$5:$J$34,MATCH(B73,'Client Economics'!$A$5:$A$34,0)),"")</f>
        <v/>
      </c>
      <c r="Y73" s="37">
        <f>IFERROR(U73/X73,"")</f>
        <v/>
      </c>
      <c r="Z73" s="44">
        <f>IF(D73="","",IF(N(M73)&lt;'KPI Benchmarks'!$D$5,"Attention",IF(N(O73)&lt;'KPI Benchmarks'!$D$6,"Interest",IF(N(Q73)&lt;'KPI Benchmarks'!$D$8,"Page load",IF(N(R73)&lt;'KPI Benchmarks'!$D$9,"Buying intent",IF(N(S73)&lt;'KPI Benchmarks'!$D$10,"Cart",IF(N(T73)&lt;'KPI Benchmarks'!$D$11,"Checkout",IF(X73="","Add economics",IF(N(Y73)&lt;'KPI Benchmarks'!$D$12,"Economics","Healthy – scale")))))))))</f>
        <v/>
      </c>
      <c r="AA73" s="27">
        <f>IF(Z73="","",IF(Z73="Healthy – scale","All stages pass. Add $10–20/day or a new audience; test new creatives beside the main campaign.",IF(Z73="Add economics","Add this client to Client Economics.",IFERROR(INDEX('KPI Benchmarks'!$G$5:$G$12,MATCH(Z73,'KPI Benchmarks'!$A$5:$A$12,0)),""))))</f>
        <v/>
      </c>
      <c r="AB73" s="13" t="n"/>
    </row>
    <row r="74">
      <c r="A74" s="14" t="n"/>
      <c r="B74" s="13" t="n"/>
      <c r="C74" s="34" t="n"/>
      <c r="D74" s="40" t="n"/>
      <c r="E74" s="40" t="n"/>
      <c r="F74" s="40" t="n"/>
      <c r="G74" s="40" t="n"/>
      <c r="H74" s="40" t="n"/>
      <c r="I74" s="40" t="n"/>
      <c r="J74" s="40" t="n"/>
      <c r="K74" s="34" t="n"/>
      <c r="L74" s="36">
        <f>IFERROR(C74/D74*1000,"")</f>
        <v/>
      </c>
      <c r="M74" s="41">
        <f>IFERROR(E74/D74,"")</f>
        <v/>
      </c>
      <c r="N74" s="41">
        <f>IFERROR(F74/D74,"")</f>
        <v/>
      </c>
      <c r="O74" s="42">
        <f>IFERROR(N74/M74,"")</f>
        <v/>
      </c>
      <c r="P74" s="36">
        <f>IFERROR(C74/F74,"")</f>
        <v/>
      </c>
      <c r="Q74" s="42">
        <f>IFERROR(G74/F74,"")</f>
        <v/>
      </c>
      <c r="R74" s="43">
        <f>IFERROR(H74/G74,"")</f>
        <v/>
      </c>
      <c r="S74" s="42">
        <f>IFERROR(I74/H74,"")</f>
        <v/>
      </c>
      <c r="T74" s="42">
        <f>IFERROR(J74/I74,"")</f>
        <v/>
      </c>
      <c r="U74" s="37">
        <f>IFERROR(K74/C74,"")</f>
        <v/>
      </c>
      <c r="V74" s="36">
        <f>IFERROR(C74/J74,"")</f>
        <v/>
      </c>
      <c r="W74" s="36">
        <f>IFERROR(K74/J74,"")</f>
        <v/>
      </c>
      <c r="X74" s="37">
        <f>IFERROR(INDEX('Client Economics'!$J$5:$J$34,MATCH(B74,'Client Economics'!$A$5:$A$34,0)),"")</f>
        <v/>
      </c>
      <c r="Y74" s="37">
        <f>IFERROR(U74/X74,"")</f>
        <v/>
      </c>
      <c r="Z74" s="44">
        <f>IF(D74="","",IF(N(M74)&lt;'KPI Benchmarks'!$D$5,"Attention",IF(N(O74)&lt;'KPI Benchmarks'!$D$6,"Interest",IF(N(Q74)&lt;'KPI Benchmarks'!$D$8,"Page load",IF(N(R74)&lt;'KPI Benchmarks'!$D$9,"Buying intent",IF(N(S74)&lt;'KPI Benchmarks'!$D$10,"Cart",IF(N(T74)&lt;'KPI Benchmarks'!$D$11,"Checkout",IF(X74="","Add economics",IF(N(Y74)&lt;'KPI Benchmarks'!$D$12,"Economics","Healthy – scale")))))))))</f>
        <v/>
      </c>
      <c r="AA74" s="27">
        <f>IF(Z74="","",IF(Z74="Healthy – scale","All stages pass. Add $10–20/day or a new audience; test new creatives beside the main campaign.",IF(Z74="Add economics","Add this client to Client Economics.",IFERROR(INDEX('KPI Benchmarks'!$G$5:$G$12,MATCH(Z74,'KPI Benchmarks'!$A$5:$A$12,0)),""))))</f>
        <v/>
      </c>
      <c r="AB74" s="13" t="n"/>
    </row>
    <row r="75">
      <c r="A75" s="14" t="n"/>
      <c r="B75" s="13" t="n"/>
      <c r="C75" s="34" t="n"/>
      <c r="D75" s="40" t="n"/>
      <c r="E75" s="40" t="n"/>
      <c r="F75" s="40" t="n"/>
      <c r="G75" s="40" t="n"/>
      <c r="H75" s="40" t="n"/>
      <c r="I75" s="40" t="n"/>
      <c r="J75" s="40" t="n"/>
      <c r="K75" s="34" t="n"/>
      <c r="L75" s="36">
        <f>IFERROR(C75/D75*1000,"")</f>
        <v/>
      </c>
      <c r="M75" s="41">
        <f>IFERROR(E75/D75,"")</f>
        <v/>
      </c>
      <c r="N75" s="41">
        <f>IFERROR(F75/D75,"")</f>
        <v/>
      </c>
      <c r="O75" s="42">
        <f>IFERROR(N75/M75,"")</f>
        <v/>
      </c>
      <c r="P75" s="36">
        <f>IFERROR(C75/F75,"")</f>
        <v/>
      </c>
      <c r="Q75" s="42">
        <f>IFERROR(G75/F75,"")</f>
        <v/>
      </c>
      <c r="R75" s="43">
        <f>IFERROR(H75/G75,"")</f>
        <v/>
      </c>
      <c r="S75" s="42">
        <f>IFERROR(I75/H75,"")</f>
        <v/>
      </c>
      <c r="T75" s="42">
        <f>IFERROR(J75/I75,"")</f>
        <v/>
      </c>
      <c r="U75" s="37">
        <f>IFERROR(K75/C75,"")</f>
        <v/>
      </c>
      <c r="V75" s="36">
        <f>IFERROR(C75/J75,"")</f>
        <v/>
      </c>
      <c r="W75" s="36">
        <f>IFERROR(K75/J75,"")</f>
        <v/>
      </c>
      <c r="X75" s="37">
        <f>IFERROR(INDEX('Client Economics'!$J$5:$J$34,MATCH(B75,'Client Economics'!$A$5:$A$34,0)),"")</f>
        <v/>
      </c>
      <c r="Y75" s="37">
        <f>IFERROR(U75/X75,"")</f>
        <v/>
      </c>
      <c r="Z75" s="44">
        <f>IF(D75="","",IF(N(M75)&lt;'KPI Benchmarks'!$D$5,"Attention",IF(N(O75)&lt;'KPI Benchmarks'!$D$6,"Interest",IF(N(Q75)&lt;'KPI Benchmarks'!$D$8,"Page load",IF(N(R75)&lt;'KPI Benchmarks'!$D$9,"Buying intent",IF(N(S75)&lt;'KPI Benchmarks'!$D$10,"Cart",IF(N(T75)&lt;'KPI Benchmarks'!$D$11,"Checkout",IF(X75="","Add economics",IF(N(Y75)&lt;'KPI Benchmarks'!$D$12,"Economics","Healthy – scale")))))))))</f>
        <v/>
      </c>
      <c r="AA75" s="27">
        <f>IF(Z75="","",IF(Z75="Healthy – scale","All stages pass. Add $10–20/day or a new audience; test new creatives beside the main campaign.",IF(Z75="Add economics","Add this client to Client Economics.",IFERROR(INDEX('KPI Benchmarks'!$G$5:$G$12,MATCH(Z75,'KPI Benchmarks'!$A$5:$A$12,0)),""))))</f>
        <v/>
      </c>
      <c r="AB75" s="13" t="n"/>
    </row>
    <row r="76">
      <c r="A76" s="14" t="n"/>
      <c r="B76" s="13" t="n"/>
      <c r="C76" s="34" t="n"/>
      <c r="D76" s="40" t="n"/>
      <c r="E76" s="40" t="n"/>
      <c r="F76" s="40" t="n"/>
      <c r="G76" s="40" t="n"/>
      <c r="H76" s="40" t="n"/>
      <c r="I76" s="40" t="n"/>
      <c r="J76" s="40" t="n"/>
      <c r="K76" s="34" t="n"/>
      <c r="L76" s="36">
        <f>IFERROR(C76/D76*1000,"")</f>
        <v/>
      </c>
      <c r="M76" s="41">
        <f>IFERROR(E76/D76,"")</f>
        <v/>
      </c>
      <c r="N76" s="41">
        <f>IFERROR(F76/D76,"")</f>
        <v/>
      </c>
      <c r="O76" s="42">
        <f>IFERROR(N76/M76,"")</f>
        <v/>
      </c>
      <c r="P76" s="36">
        <f>IFERROR(C76/F76,"")</f>
        <v/>
      </c>
      <c r="Q76" s="42">
        <f>IFERROR(G76/F76,"")</f>
        <v/>
      </c>
      <c r="R76" s="43">
        <f>IFERROR(H76/G76,"")</f>
        <v/>
      </c>
      <c r="S76" s="42">
        <f>IFERROR(I76/H76,"")</f>
        <v/>
      </c>
      <c r="T76" s="42">
        <f>IFERROR(J76/I76,"")</f>
        <v/>
      </c>
      <c r="U76" s="37">
        <f>IFERROR(K76/C76,"")</f>
        <v/>
      </c>
      <c r="V76" s="36">
        <f>IFERROR(C76/J76,"")</f>
        <v/>
      </c>
      <c r="W76" s="36">
        <f>IFERROR(K76/J76,"")</f>
        <v/>
      </c>
      <c r="X76" s="37">
        <f>IFERROR(INDEX('Client Economics'!$J$5:$J$34,MATCH(B76,'Client Economics'!$A$5:$A$34,0)),"")</f>
        <v/>
      </c>
      <c r="Y76" s="37">
        <f>IFERROR(U76/X76,"")</f>
        <v/>
      </c>
      <c r="Z76" s="44">
        <f>IF(D76="","",IF(N(M76)&lt;'KPI Benchmarks'!$D$5,"Attention",IF(N(O76)&lt;'KPI Benchmarks'!$D$6,"Interest",IF(N(Q76)&lt;'KPI Benchmarks'!$D$8,"Page load",IF(N(R76)&lt;'KPI Benchmarks'!$D$9,"Buying intent",IF(N(S76)&lt;'KPI Benchmarks'!$D$10,"Cart",IF(N(T76)&lt;'KPI Benchmarks'!$D$11,"Checkout",IF(X76="","Add economics",IF(N(Y76)&lt;'KPI Benchmarks'!$D$12,"Economics","Healthy – scale")))))))))</f>
        <v/>
      </c>
      <c r="AA76" s="27">
        <f>IF(Z76="","",IF(Z76="Healthy – scale","All stages pass. Add $10–20/day or a new audience; test new creatives beside the main campaign.",IF(Z76="Add economics","Add this client to Client Economics.",IFERROR(INDEX('KPI Benchmarks'!$G$5:$G$12,MATCH(Z76,'KPI Benchmarks'!$A$5:$A$12,0)),""))))</f>
        <v/>
      </c>
      <c r="AB76" s="13" t="n"/>
    </row>
    <row r="77">
      <c r="A77" s="14" t="n"/>
      <c r="B77" s="13" t="n"/>
      <c r="C77" s="34" t="n"/>
      <c r="D77" s="40" t="n"/>
      <c r="E77" s="40" t="n"/>
      <c r="F77" s="40" t="n"/>
      <c r="G77" s="40" t="n"/>
      <c r="H77" s="40" t="n"/>
      <c r="I77" s="40" t="n"/>
      <c r="J77" s="40" t="n"/>
      <c r="K77" s="34" t="n"/>
      <c r="L77" s="36">
        <f>IFERROR(C77/D77*1000,"")</f>
        <v/>
      </c>
      <c r="M77" s="41">
        <f>IFERROR(E77/D77,"")</f>
        <v/>
      </c>
      <c r="N77" s="41">
        <f>IFERROR(F77/D77,"")</f>
        <v/>
      </c>
      <c r="O77" s="42">
        <f>IFERROR(N77/M77,"")</f>
        <v/>
      </c>
      <c r="P77" s="36">
        <f>IFERROR(C77/F77,"")</f>
        <v/>
      </c>
      <c r="Q77" s="42">
        <f>IFERROR(G77/F77,"")</f>
        <v/>
      </c>
      <c r="R77" s="43">
        <f>IFERROR(H77/G77,"")</f>
        <v/>
      </c>
      <c r="S77" s="42">
        <f>IFERROR(I77/H77,"")</f>
        <v/>
      </c>
      <c r="T77" s="42">
        <f>IFERROR(J77/I77,"")</f>
        <v/>
      </c>
      <c r="U77" s="37">
        <f>IFERROR(K77/C77,"")</f>
        <v/>
      </c>
      <c r="V77" s="36">
        <f>IFERROR(C77/J77,"")</f>
        <v/>
      </c>
      <c r="W77" s="36">
        <f>IFERROR(K77/J77,"")</f>
        <v/>
      </c>
      <c r="X77" s="37">
        <f>IFERROR(INDEX('Client Economics'!$J$5:$J$34,MATCH(B77,'Client Economics'!$A$5:$A$34,0)),"")</f>
        <v/>
      </c>
      <c r="Y77" s="37">
        <f>IFERROR(U77/X77,"")</f>
        <v/>
      </c>
      <c r="Z77" s="44">
        <f>IF(D77="","",IF(N(M77)&lt;'KPI Benchmarks'!$D$5,"Attention",IF(N(O77)&lt;'KPI Benchmarks'!$D$6,"Interest",IF(N(Q77)&lt;'KPI Benchmarks'!$D$8,"Page load",IF(N(R77)&lt;'KPI Benchmarks'!$D$9,"Buying intent",IF(N(S77)&lt;'KPI Benchmarks'!$D$10,"Cart",IF(N(T77)&lt;'KPI Benchmarks'!$D$11,"Checkout",IF(X77="","Add economics",IF(N(Y77)&lt;'KPI Benchmarks'!$D$12,"Economics","Healthy – scale")))))))))</f>
        <v/>
      </c>
      <c r="AA77" s="27">
        <f>IF(Z77="","",IF(Z77="Healthy – scale","All stages pass. Add $10–20/day or a new audience; test new creatives beside the main campaign.",IF(Z77="Add economics","Add this client to Client Economics.",IFERROR(INDEX('KPI Benchmarks'!$G$5:$G$12,MATCH(Z77,'KPI Benchmarks'!$A$5:$A$12,0)),""))))</f>
        <v/>
      </c>
      <c r="AB77" s="13" t="n"/>
    </row>
    <row r="78">
      <c r="A78" s="14" t="n"/>
      <c r="B78" s="13" t="n"/>
      <c r="C78" s="34" t="n"/>
      <c r="D78" s="40" t="n"/>
      <c r="E78" s="40" t="n"/>
      <c r="F78" s="40" t="n"/>
      <c r="G78" s="40" t="n"/>
      <c r="H78" s="40" t="n"/>
      <c r="I78" s="40" t="n"/>
      <c r="J78" s="40" t="n"/>
      <c r="K78" s="34" t="n"/>
      <c r="L78" s="36">
        <f>IFERROR(C78/D78*1000,"")</f>
        <v/>
      </c>
      <c r="M78" s="41">
        <f>IFERROR(E78/D78,"")</f>
        <v/>
      </c>
      <c r="N78" s="41">
        <f>IFERROR(F78/D78,"")</f>
        <v/>
      </c>
      <c r="O78" s="42">
        <f>IFERROR(N78/M78,"")</f>
        <v/>
      </c>
      <c r="P78" s="36">
        <f>IFERROR(C78/F78,"")</f>
        <v/>
      </c>
      <c r="Q78" s="42">
        <f>IFERROR(G78/F78,"")</f>
        <v/>
      </c>
      <c r="R78" s="43">
        <f>IFERROR(H78/G78,"")</f>
        <v/>
      </c>
      <c r="S78" s="42">
        <f>IFERROR(I78/H78,"")</f>
        <v/>
      </c>
      <c r="T78" s="42">
        <f>IFERROR(J78/I78,"")</f>
        <v/>
      </c>
      <c r="U78" s="37">
        <f>IFERROR(K78/C78,"")</f>
        <v/>
      </c>
      <c r="V78" s="36">
        <f>IFERROR(C78/J78,"")</f>
        <v/>
      </c>
      <c r="W78" s="36">
        <f>IFERROR(K78/J78,"")</f>
        <v/>
      </c>
      <c r="X78" s="37">
        <f>IFERROR(INDEX('Client Economics'!$J$5:$J$34,MATCH(B78,'Client Economics'!$A$5:$A$34,0)),"")</f>
        <v/>
      </c>
      <c r="Y78" s="37">
        <f>IFERROR(U78/X78,"")</f>
        <v/>
      </c>
      <c r="Z78" s="44">
        <f>IF(D78="","",IF(N(M78)&lt;'KPI Benchmarks'!$D$5,"Attention",IF(N(O78)&lt;'KPI Benchmarks'!$D$6,"Interest",IF(N(Q78)&lt;'KPI Benchmarks'!$D$8,"Page load",IF(N(R78)&lt;'KPI Benchmarks'!$D$9,"Buying intent",IF(N(S78)&lt;'KPI Benchmarks'!$D$10,"Cart",IF(N(T78)&lt;'KPI Benchmarks'!$D$11,"Checkout",IF(X78="","Add economics",IF(N(Y78)&lt;'KPI Benchmarks'!$D$12,"Economics","Healthy – scale")))))))))</f>
        <v/>
      </c>
      <c r="AA78" s="27">
        <f>IF(Z78="","",IF(Z78="Healthy – scale","All stages pass. Add $10–20/day or a new audience; test new creatives beside the main campaign.",IF(Z78="Add economics","Add this client to Client Economics.",IFERROR(INDEX('KPI Benchmarks'!$G$5:$G$12,MATCH(Z78,'KPI Benchmarks'!$A$5:$A$12,0)),""))))</f>
        <v/>
      </c>
      <c r="AB78" s="13" t="n"/>
    </row>
    <row r="79">
      <c r="A79" s="14" t="n"/>
      <c r="B79" s="13" t="n"/>
      <c r="C79" s="34" t="n"/>
      <c r="D79" s="40" t="n"/>
      <c r="E79" s="40" t="n"/>
      <c r="F79" s="40" t="n"/>
      <c r="G79" s="40" t="n"/>
      <c r="H79" s="40" t="n"/>
      <c r="I79" s="40" t="n"/>
      <c r="J79" s="40" t="n"/>
      <c r="K79" s="34" t="n"/>
      <c r="L79" s="36">
        <f>IFERROR(C79/D79*1000,"")</f>
        <v/>
      </c>
      <c r="M79" s="41">
        <f>IFERROR(E79/D79,"")</f>
        <v/>
      </c>
      <c r="N79" s="41">
        <f>IFERROR(F79/D79,"")</f>
        <v/>
      </c>
      <c r="O79" s="42">
        <f>IFERROR(N79/M79,"")</f>
        <v/>
      </c>
      <c r="P79" s="36">
        <f>IFERROR(C79/F79,"")</f>
        <v/>
      </c>
      <c r="Q79" s="42">
        <f>IFERROR(G79/F79,"")</f>
        <v/>
      </c>
      <c r="R79" s="43">
        <f>IFERROR(H79/G79,"")</f>
        <v/>
      </c>
      <c r="S79" s="42">
        <f>IFERROR(I79/H79,"")</f>
        <v/>
      </c>
      <c r="T79" s="42">
        <f>IFERROR(J79/I79,"")</f>
        <v/>
      </c>
      <c r="U79" s="37">
        <f>IFERROR(K79/C79,"")</f>
        <v/>
      </c>
      <c r="V79" s="36">
        <f>IFERROR(C79/J79,"")</f>
        <v/>
      </c>
      <c r="W79" s="36">
        <f>IFERROR(K79/J79,"")</f>
        <v/>
      </c>
      <c r="X79" s="37">
        <f>IFERROR(INDEX('Client Economics'!$J$5:$J$34,MATCH(B79,'Client Economics'!$A$5:$A$34,0)),"")</f>
        <v/>
      </c>
      <c r="Y79" s="37">
        <f>IFERROR(U79/X79,"")</f>
        <v/>
      </c>
      <c r="Z79" s="44">
        <f>IF(D79="","",IF(N(M79)&lt;'KPI Benchmarks'!$D$5,"Attention",IF(N(O79)&lt;'KPI Benchmarks'!$D$6,"Interest",IF(N(Q79)&lt;'KPI Benchmarks'!$D$8,"Page load",IF(N(R79)&lt;'KPI Benchmarks'!$D$9,"Buying intent",IF(N(S79)&lt;'KPI Benchmarks'!$D$10,"Cart",IF(N(T79)&lt;'KPI Benchmarks'!$D$11,"Checkout",IF(X79="","Add economics",IF(N(Y79)&lt;'KPI Benchmarks'!$D$12,"Economics","Healthy – scale")))))))))</f>
        <v/>
      </c>
      <c r="AA79" s="27">
        <f>IF(Z79="","",IF(Z79="Healthy – scale","All stages pass. Add $10–20/day or a new audience; test new creatives beside the main campaign.",IF(Z79="Add economics","Add this client to Client Economics.",IFERROR(INDEX('KPI Benchmarks'!$G$5:$G$12,MATCH(Z79,'KPI Benchmarks'!$A$5:$A$12,0)),""))))</f>
        <v/>
      </c>
      <c r="AB79" s="13" t="n"/>
    </row>
    <row r="80">
      <c r="A80" s="14" t="n"/>
      <c r="B80" s="13" t="n"/>
      <c r="C80" s="34" t="n"/>
      <c r="D80" s="40" t="n"/>
      <c r="E80" s="40" t="n"/>
      <c r="F80" s="40" t="n"/>
      <c r="G80" s="40" t="n"/>
      <c r="H80" s="40" t="n"/>
      <c r="I80" s="40" t="n"/>
      <c r="J80" s="40" t="n"/>
      <c r="K80" s="34" t="n"/>
      <c r="L80" s="36">
        <f>IFERROR(C80/D80*1000,"")</f>
        <v/>
      </c>
      <c r="M80" s="41">
        <f>IFERROR(E80/D80,"")</f>
        <v/>
      </c>
      <c r="N80" s="41">
        <f>IFERROR(F80/D80,"")</f>
        <v/>
      </c>
      <c r="O80" s="42">
        <f>IFERROR(N80/M80,"")</f>
        <v/>
      </c>
      <c r="P80" s="36">
        <f>IFERROR(C80/F80,"")</f>
        <v/>
      </c>
      <c r="Q80" s="42">
        <f>IFERROR(G80/F80,"")</f>
        <v/>
      </c>
      <c r="R80" s="43">
        <f>IFERROR(H80/G80,"")</f>
        <v/>
      </c>
      <c r="S80" s="42">
        <f>IFERROR(I80/H80,"")</f>
        <v/>
      </c>
      <c r="T80" s="42">
        <f>IFERROR(J80/I80,"")</f>
        <v/>
      </c>
      <c r="U80" s="37">
        <f>IFERROR(K80/C80,"")</f>
        <v/>
      </c>
      <c r="V80" s="36">
        <f>IFERROR(C80/J80,"")</f>
        <v/>
      </c>
      <c r="W80" s="36">
        <f>IFERROR(K80/J80,"")</f>
        <v/>
      </c>
      <c r="X80" s="37">
        <f>IFERROR(INDEX('Client Economics'!$J$5:$J$34,MATCH(B80,'Client Economics'!$A$5:$A$34,0)),"")</f>
        <v/>
      </c>
      <c r="Y80" s="37">
        <f>IFERROR(U80/X80,"")</f>
        <v/>
      </c>
      <c r="Z80" s="44">
        <f>IF(D80="","",IF(N(M80)&lt;'KPI Benchmarks'!$D$5,"Attention",IF(N(O80)&lt;'KPI Benchmarks'!$D$6,"Interest",IF(N(Q80)&lt;'KPI Benchmarks'!$D$8,"Page load",IF(N(R80)&lt;'KPI Benchmarks'!$D$9,"Buying intent",IF(N(S80)&lt;'KPI Benchmarks'!$D$10,"Cart",IF(N(T80)&lt;'KPI Benchmarks'!$D$11,"Checkout",IF(X80="","Add economics",IF(N(Y80)&lt;'KPI Benchmarks'!$D$12,"Economics","Healthy – scale")))))))))</f>
        <v/>
      </c>
      <c r="AA80" s="27">
        <f>IF(Z80="","",IF(Z80="Healthy – scale","All stages pass. Add $10–20/day or a new audience; test new creatives beside the main campaign.",IF(Z80="Add economics","Add this client to Client Economics.",IFERROR(INDEX('KPI Benchmarks'!$G$5:$G$12,MATCH(Z80,'KPI Benchmarks'!$A$5:$A$12,0)),""))))</f>
        <v/>
      </c>
      <c r="AB80" s="13" t="n"/>
    </row>
    <row r="81">
      <c r="A81" s="14" t="n"/>
      <c r="B81" s="13" t="n"/>
      <c r="C81" s="34" t="n"/>
      <c r="D81" s="40" t="n"/>
      <c r="E81" s="40" t="n"/>
      <c r="F81" s="40" t="n"/>
      <c r="G81" s="40" t="n"/>
      <c r="H81" s="40" t="n"/>
      <c r="I81" s="40" t="n"/>
      <c r="J81" s="40" t="n"/>
      <c r="K81" s="34" t="n"/>
      <c r="L81" s="36">
        <f>IFERROR(C81/D81*1000,"")</f>
        <v/>
      </c>
      <c r="M81" s="41">
        <f>IFERROR(E81/D81,"")</f>
        <v/>
      </c>
      <c r="N81" s="41">
        <f>IFERROR(F81/D81,"")</f>
        <v/>
      </c>
      <c r="O81" s="42">
        <f>IFERROR(N81/M81,"")</f>
        <v/>
      </c>
      <c r="P81" s="36">
        <f>IFERROR(C81/F81,"")</f>
        <v/>
      </c>
      <c r="Q81" s="42">
        <f>IFERROR(G81/F81,"")</f>
        <v/>
      </c>
      <c r="R81" s="43">
        <f>IFERROR(H81/G81,"")</f>
        <v/>
      </c>
      <c r="S81" s="42">
        <f>IFERROR(I81/H81,"")</f>
        <v/>
      </c>
      <c r="T81" s="42">
        <f>IFERROR(J81/I81,"")</f>
        <v/>
      </c>
      <c r="U81" s="37">
        <f>IFERROR(K81/C81,"")</f>
        <v/>
      </c>
      <c r="V81" s="36">
        <f>IFERROR(C81/J81,"")</f>
        <v/>
      </c>
      <c r="W81" s="36">
        <f>IFERROR(K81/J81,"")</f>
        <v/>
      </c>
      <c r="X81" s="37">
        <f>IFERROR(INDEX('Client Economics'!$J$5:$J$34,MATCH(B81,'Client Economics'!$A$5:$A$34,0)),"")</f>
        <v/>
      </c>
      <c r="Y81" s="37">
        <f>IFERROR(U81/X81,"")</f>
        <v/>
      </c>
      <c r="Z81" s="44">
        <f>IF(D81="","",IF(N(M81)&lt;'KPI Benchmarks'!$D$5,"Attention",IF(N(O81)&lt;'KPI Benchmarks'!$D$6,"Interest",IF(N(Q81)&lt;'KPI Benchmarks'!$D$8,"Page load",IF(N(R81)&lt;'KPI Benchmarks'!$D$9,"Buying intent",IF(N(S81)&lt;'KPI Benchmarks'!$D$10,"Cart",IF(N(T81)&lt;'KPI Benchmarks'!$D$11,"Checkout",IF(X81="","Add economics",IF(N(Y81)&lt;'KPI Benchmarks'!$D$12,"Economics","Healthy – scale")))))))))</f>
        <v/>
      </c>
      <c r="AA81" s="27">
        <f>IF(Z81="","",IF(Z81="Healthy – scale","All stages pass. Add $10–20/day or a new audience; test new creatives beside the main campaign.",IF(Z81="Add economics","Add this client to Client Economics.",IFERROR(INDEX('KPI Benchmarks'!$G$5:$G$12,MATCH(Z81,'KPI Benchmarks'!$A$5:$A$12,0)),""))))</f>
        <v/>
      </c>
      <c r="AB81" s="13" t="n"/>
    </row>
    <row r="82">
      <c r="A82" s="14" t="n"/>
      <c r="B82" s="13" t="n"/>
      <c r="C82" s="34" t="n"/>
      <c r="D82" s="40" t="n"/>
      <c r="E82" s="40" t="n"/>
      <c r="F82" s="40" t="n"/>
      <c r="G82" s="40" t="n"/>
      <c r="H82" s="40" t="n"/>
      <c r="I82" s="40" t="n"/>
      <c r="J82" s="40" t="n"/>
      <c r="K82" s="34" t="n"/>
      <c r="L82" s="36">
        <f>IFERROR(C82/D82*1000,"")</f>
        <v/>
      </c>
      <c r="M82" s="41">
        <f>IFERROR(E82/D82,"")</f>
        <v/>
      </c>
      <c r="N82" s="41">
        <f>IFERROR(F82/D82,"")</f>
        <v/>
      </c>
      <c r="O82" s="42">
        <f>IFERROR(N82/M82,"")</f>
        <v/>
      </c>
      <c r="P82" s="36">
        <f>IFERROR(C82/F82,"")</f>
        <v/>
      </c>
      <c r="Q82" s="42">
        <f>IFERROR(G82/F82,"")</f>
        <v/>
      </c>
      <c r="R82" s="43">
        <f>IFERROR(H82/G82,"")</f>
        <v/>
      </c>
      <c r="S82" s="42">
        <f>IFERROR(I82/H82,"")</f>
        <v/>
      </c>
      <c r="T82" s="42">
        <f>IFERROR(J82/I82,"")</f>
        <v/>
      </c>
      <c r="U82" s="37">
        <f>IFERROR(K82/C82,"")</f>
        <v/>
      </c>
      <c r="V82" s="36">
        <f>IFERROR(C82/J82,"")</f>
        <v/>
      </c>
      <c r="W82" s="36">
        <f>IFERROR(K82/J82,"")</f>
        <v/>
      </c>
      <c r="X82" s="37">
        <f>IFERROR(INDEX('Client Economics'!$J$5:$J$34,MATCH(B82,'Client Economics'!$A$5:$A$34,0)),"")</f>
        <v/>
      </c>
      <c r="Y82" s="37">
        <f>IFERROR(U82/X82,"")</f>
        <v/>
      </c>
      <c r="Z82" s="44">
        <f>IF(D82="","",IF(N(M82)&lt;'KPI Benchmarks'!$D$5,"Attention",IF(N(O82)&lt;'KPI Benchmarks'!$D$6,"Interest",IF(N(Q82)&lt;'KPI Benchmarks'!$D$8,"Page load",IF(N(R82)&lt;'KPI Benchmarks'!$D$9,"Buying intent",IF(N(S82)&lt;'KPI Benchmarks'!$D$10,"Cart",IF(N(T82)&lt;'KPI Benchmarks'!$D$11,"Checkout",IF(X82="","Add economics",IF(N(Y82)&lt;'KPI Benchmarks'!$D$12,"Economics","Healthy – scale")))))))))</f>
        <v/>
      </c>
      <c r="AA82" s="27">
        <f>IF(Z82="","",IF(Z82="Healthy – scale","All stages pass. Add $10–20/day or a new audience; test new creatives beside the main campaign.",IF(Z82="Add economics","Add this client to Client Economics.",IFERROR(INDEX('KPI Benchmarks'!$G$5:$G$12,MATCH(Z82,'KPI Benchmarks'!$A$5:$A$12,0)),""))))</f>
        <v/>
      </c>
      <c r="AB82" s="13" t="n"/>
    </row>
    <row r="83">
      <c r="A83" s="14" t="n"/>
      <c r="B83" s="13" t="n"/>
      <c r="C83" s="34" t="n"/>
      <c r="D83" s="40" t="n"/>
      <c r="E83" s="40" t="n"/>
      <c r="F83" s="40" t="n"/>
      <c r="G83" s="40" t="n"/>
      <c r="H83" s="40" t="n"/>
      <c r="I83" s="40" t="n"/>
      <c r="J83" s="40" t="n"/>
      <c r="K83" s="34" t="n"/>
      <c r="L83" s="36">
        <f>IFERROR(C83/D83*1000,"")</f>
        <v/>
      </c>
      <c r="M83" s="41">
        <f>IFERROR(E83/D83,"")</f>
        <v/>
      </c>
      <c r="N83" s="41">
        <f>IFERROR(F83/D83,"")</f>
        <v/>
      </c>
      <c r="O83" s="42">
        <f>IFERROR(N83/M83,"")</f>
        <v/>
      </c>
      <c r="P83" s="36">
        <f>IFERROR(C83/F83,"")</f>
        <v/>
      </c>
      <c r="Q83" s="42">
        <f>IFERROR(G83/F83,"")</f>
        <v/>
      </c>
      <c r="R83" s="43">
        <f>IFERROR(H83/G83,"")</f>
        <v/>
      </c>
      <c r="S83" s="42">
        <f>IFERROR(I83/H83,"")</f>
        <v/>
      </c>
      <c r="T83" s="42">
        <f>IFERROR(J83/I83,"")</f>
        <v/>
      </c>
      <c r="U83" s="37">
        <f>IFERROR(K83/C83,"")</f>
        <v/>
      </c>
      <c r="V83" s="36">
        <f>IFERROR(C83/J83,"")</f>
        <v/>
      </c>
      <c r="W83" s="36">
        <f>IFERROR(K83/J83,"")</f>
        <v/>
      </c>
      <c r="X83" s="37">
        <f>IFERROR(INDEX('Client Economics'!$J$5:$J$34,MATCH(B83,'Client Economics'!$A$5:$A$34,0)),"")</f>
        <v/>
      </c>
      <c r="Y83" s="37">
        <f>IFERROR(U83/X83,"")</f>
        <v/>
      </c>
      <c r="Z83" s="44">
        <f>IF(D83="","",IF(N(M83)&lt;'KPI Benchmarks'!$D$5,"Attention",IF(N(O83)&lt;'KPI Benchmarks'!$D$6,"Interest",IF(N(Q83)&lt;'KPI Benchmarks'!$D$8,"Page load",IF(N(R83)&lt;'KPI Benchmarks'!$D$9,"Buying intent",IF(N(S83)&lt;'KPI Benchmarks'!$D$10,"Cart",IF(N(T83)&lt;'KPI Benchmarks'!$D$11,"Checkout",IF(X83="","Add economics",IF(N(Y83)&lt;'KPI Benchmarks'!$D$12,"Economics","Healthy – scale")))))))))</f>
        <v/>
      </c>
      <c r="AA83" s="27">
        <f>IF(Z83="","",IF(Z83="Healthy – scale","All stages pass. Add $10–20/day or a new audience; test new creatives beside the main campaign.",IF(Z83="Add economics","Add this client to Client Economics.",IFERROR(INDEX('KPI Benchmarks'!$G$5:$G$12,MATCH(Z83,'KPI Benchmarks'!$A$5:$A$12,0)),""))))</f>
        <v/>
      </c>
      <c r="AB83" s="13" t="n"/>
    </row>
    <row r="84">
      <c r="A84" s="14" t="n"/>
      <c r="B84" s="13" t="n"/>
      <c r="C84" s="34" t="n"/>
      <c r="D84" s="40" t="n"/>
      <c r="E84" s="40" t="n"/>
      <c r="F84" s="40" t="n"/>
      <c r="G84" s="40" t="n"/>
      <c r="H84" s="40" t="n"/>
      <c r="I84" s="40" t="n"/>
      <c r="J84" s="40" t="n"/>
      <c r="K84" s="34" t="n"/>
      <c r="L84" s="36">
        <f>IFERROR(C84/D84*1000,"")</f>
        <v/>
      </c>
      <c r="M84" s="41">
        <f>IFERROR(E84/D84,"")</f>
        <v/>
      </c>
      <c r="N84" s="41">
        <f>IFERROR(F84/D84,"")</f>
        <v/>
      </c>
      <c r="O84" s="42">
        <f>IFERROR(N84/M84,"")</f>
        <v/>
      </c>
      <c r="P84" s="36">
        <f>IFERROR(C84/F84,"")</f>
        <v/>
      </c>
      <c r="Q84" s="42">
        <f>IFERROR(G84/F84,"")</f>
        <v/>
      </c>
      <c r="R84" s="43">
        <f>IFERROR(H84/G84,"")</f>
        <v/>
      </c>
      <c r="S84" s="42">
        <f>IFERROR(I84/H84,"")</f>
        <v/>
      </c>
      <c r="T84" s="42">
        <f>IFERROR(J84/I84,"")</f>
        <v/>
      </c>
      <c r="U84" s="37">
        <f>IFERROR(K84/C84,"")</f>
        <v/>
      </c>
      <c r="V84" s="36">
        <f>IFERROR(C84/J84,"")</f>
        <v/>
      </c>
      <c r="W84" s="36">
        <f>IFERROR(K84/J84,"")</f>
        <v/>
      </c>
      <c r="X84" s="37">
        <f>IFERROR(INDEX('Client Economics'!$J$5:$J$34,MATCH(B84,'Client Economics'!$A$5:$A$34,0)),"")</f>
        <v/>
      </c>
      <c r="Y84" s="37">
        <f>IFERROR(U84/X84,"")</f>
        <v/>
      </c>
      <c r="Z84" s="44">
        <f>IF(D84="","",IF(N(M84)&lt;'KPI Benchmarks'!$D$5,"Attention",IF(N(O84)&lt;'KPI Benchmarks'!$D$6,"Interest",IF(N(Q84)&lt;'KPI Benchmarks'!$D$8,"Page load",IF(N(R84)&lt;'KPI Benchmarks'!$D$9,"Buying intent",IF(N(S84)&lt;'KPI Benchmarks'!$D$10,"Cart",IF(N(T84)&lt;'KPI Benchmarks'!$D$11,"Checkout",IF(X84="","Add economics",IF(N(Y84)&lt;'KPI Benchmarks'!$D$12,"Economics","Healthy – scale")))))))))</f>
        <v/>
      </c>
      <c r="AA84" s="27">
        <f>IF(Z84="","",IF(Z84="Healthy – scale","All stages pass. Add $10–20/day or a new audience; test new creatives beside the main campaign.",IF(Z84="Add economics","Add this client to Client Economics.",IFERROR(INDEX('KPI Benchmarks'!$G$5:$G$12,MATCH(Z84,'KPI Benchmarks'!$A$5:$A$12,0)),""))))</f>
        <v/>
      </c>
      <c r="AB84" s="13" t="n"/>
    </row>
    <row r="85">
      <c r="A85" s="14" t="n"/>
      <c r="B85" s="13" t="n"/>
      <c r="C85" s="34" t="n"/>
      <c r="D85" s="40" t="n"/>
      <c r="E85" s="40" t="n"/>
      <c r="F85" s="40" t="n"/>
      <c r="G85" s="40" t="n"/>
      <c r="H85" s="40" t="n"/>
      <c r="I85" s="40" t="n"/>
      <c r="J85" s="40" t="n"/>
      <c r="K85" s="34" t="n"/>
      <c r="L85" s="36">
        <f>IFERROR(C85/D85*1000,"")</f>
        <v/>
      </c>
      <c r="M85" s="41">
        <f>IFERROR(E85/D85,"")</f>
        <v/>
      </c>
      <c r="N85" s="41">
        <f>IFERROR(F85/D85,"")</f>
        <v/>
      </c>
      <c r="O85" s="42">
        <f>IFERROR(N85/M85,"")</f>
        <v/>
      </c>
      <c r="P85" s="36">
        <f>IFERROR(C85/F85,"")</f>
        <v/>
      </c>
      <c r="Q85" s="42">
        <f>IFERROR(G85/F85,"")</f>
        <v/>
      </c>
      <c r="R85" s="43">
        <f>IFERROR(H85/G85,"")</f>
        <v/>
      </c>
      <c r="S85" s="42">
        <f>IFERROR(I85/H85,"")</f>
        <v/>
      </c>
      <c r="T85" s="42">
        <f>IFERROR(J85/I85,"")</f>
        <v/>
      </c>
      <c r="U85" s="37">
        <f>IFERROR(K85/C85,"")</f>
        <v/>
      </c>
      <c r="V85" s="36">
        <f>IFERROR(C85/J85,"")</f>
        <v/>
      </c>
      <c r="W85" s="36">
        <f>IFERROR(K85/J85,"")</f>
        <v/>
      </c>
      <c r="X85" s="37">
        <f>IFERROR(INDEX('Client Economics'!$J$5:$J$34,MATCH(B85,'Client Economics'!$A$5:$A$34,0)),"")</f>
        <v/>
      </c>
      <c r="Y85" s="37">
        <f>IFERROR(U85/X85,"")</f>
        <v/>
      </c>
      <c r="Z85" s="44">
        <f>IF(D85="","",IF(N(M85)&lt;'KPI Benchmarks'!$D$5,"Attention",IF(N(O85)&lt;'KPI Benchmarks'!$D$6,"Interest",IF(N(Q85)&lt;'KPI Benchmarks'!$D$8,"Page load",IF(N(R85)&lt;'KPI Benchmarks'!$D$9,"Buying intent",IF(N(S85)&lt;'KPI Benchmarks'!$D$10,"Cart",IF(N(T85)&lt;'KPI Benchmarks'!$D$11,"Checkout",IF(X85="","Add economics",IF(N(Y85)&lt;'KPI Benchmarks'!$D$12,"Economics","Healthy – scale")))))))))</f>
        <v/>
      </c>
      <c r="AA85" s="27">
        <f>IF(Z85="","",IF(Z85="Healthy – scale","All stages pass. Add $10–20/day or a new audience; test new creatives beside the main campaign.",IF(Z85="Add economics","Add this client to Client Economics.",IFERROR(INDEX('KPI Benchmarks'!$G$5:$G$12,MATCH(Z85,'KPI Benchmarks'!$A$5:$A$12,0)),""))))</f>
        <v/>
      </c>
      <c r="AB85" s="13" t="n"/>
    </row>
    <row r="86">
      <c r="A86" s="14" t="n"/>
      <c r="B86" s="13" t="n"/>
      <c r="C86" s="34" t="n"/>
      <c r="D86" s="40" t="n"/>
      <c r="E86" s="40" t="n"/>
      <c r="F86" s="40" t="n"/>
      <c r="G86" s="40" t="n"/>
      <c r="H86" s="40" t="n"/>
      <c r="I86" s="40" t="n"/>
      <c r="J86" s="40" t="n"/>
      <c r="K86" s="34" t="n"/>
      <c r="L86" s="36">
        <f>IFERROR(C86/D86*1000,"")</f>
        <v/>
      </c>
      <c r="M86" s="41">
        <f>IFERROR(E86/D86,"")</f>
        <v/>
      </c>
      <c r="N86" s="41">
        <f>IFERROR(F86/D86,"")</f>
        <v/>
      </c>
      <c r="O86" s="42">
        <f>IFERROR(N86/M86,"")</f>
        <v/>
      </c>
      <c r="P86" s="36">
        <f>IFERROR(C86/F86,"")</f>
        <v/>
      </c>
      <c r="Q86" s="42">
        <f>IFERROR(G86/F86,"")</f>
        <v/>
      </c>
      <c r="R86" s="43">
        <f>IFERROR(H86/G86,"")</f>
        <v/>
      </c>
      <c r="S86" s="42">
        <f>IFERROR(I86/H86,"")</f>
        <v/>
      </c>
      <c r="T86" s="42">
        <f>IFERROR(J86/I86,"")</f>
        <v/>
      </c>
      <c r="U86" s="37">
        <f>IFERROR(K86/C86,"")</f>
        <v/>
      </c>
      <c r="V86" s="36">
        <f>IFERROR(C86/J86,"")</f>
        <v/>
      </c>
      <c r="W86" s="36">
        <f>IFERROR(K86/J86,"")</f>
        <v/>
      </c>
      <c r="X86" s="37">
        <f>IFERROR(INDEX('Client Economics'!$J$5:$J$34,MATCH(B86,'Client Economics'!$A$5:$A$34,0)),"")</f>
        <v/>
      </c>
      <c r="Y86" s="37">
        <f>IFERROR(U86/X86,"")</f>
        <v/>
      </c>
      <c r="Z86" s="44">
        <f>IF(D86="","",IF(N(M86)&lt;'KPI Benchmarks'!$D$5,"Attention",IF(N(O86)&lt;'KPI Benchmarks'!$D$6,"Interest",IF(N(Q86)&lt;'KPI Benchmarks'!$D$8,"Page load",IF(N(R86)&lt;'KPI Benchmarks'!$D$9,"Buying intent",IF(N(S86)&lt;'KPI Benchmarks'!$D$10,"Cart",IF(N(T86)&lt;'KPI Benchmarks'!$D$11,"Checkout",IF(X86="","Add economics",IF(N(Y86)&lt;'KPI Benchmarks'!$D$12,"Economics","Healthy – scale")))))))))</f>
        <v/>
      </c>
      <c r="AA86" s="27">
        <f>IF(Z86="","",IF(Z86="Healthy – scale","All stages pass. Add $10–20/day or a new audience; test new creatives beside the main campaign.",IF(Z86="Add economics","Add this client to Client Economics.",IFERROR(INDEX('KPI Benchmarks'!$G$5:$G$12,MATCH(Z86,'KPI Benchmarks'!$A$5:$A$12,0)),""))))</f>
        <v/>
      </c>
      <c r="AB86" s="13" t="n"/>
    </row>
    <row r="87">
      <c r="A87" s="14" t="n"/>
      <c r="B87" s="13" t="n"/>
      <c r="C87" s="34" t="n"/>
      <c r="D87" s="40" t="n"/>
      <c r="E87" s="40" t="n"/>
      <c r="F87" s="40" t="n"/>
      <c r="G87" s="40" t="n"/>
      <c r="H87" s="40" t="n"/>
      <c r="I87" s="40" t="n"/>
      <c r="J87" s="40" t="n"/>
      <c r="K87" s="34" t="n"/>
      <c r="L87" s="36">
        <f>IFERROR(C87/D87*1000,"")</f>
        <v/>
      </c>
      <c r="M87" s="41">
        <f>IFERROR(E87/D87,"")</f>
        <v/>
      </c>
      <c r="N87" s="41">
        <f>IFERROR(F87/D87,"")</f>
        <v/>
      </c>
      <c r="O87" s="42">
        <f>IFERROR(N87/M87,"")</f>
        <v/>
      </c>
      <c r="P87" s="36">
        <f>IFERROR(C87/F87,"")</f>
        <v/>
      </c>
      <c r="Q87" s="42">
        <f>IFERROR(G87/F87,"")</f>
        <v/>
      </c>
      <c r="R87" s="43">
        <f>IFERROR(H87/G87,"")</f>
        <v/>
      </c>
      <c r="S87" s="42">
        <f>IFERROR(I87/H87,"")</f>
        <v/>
      </c>
      <c r="T87" s="42">
        <f>IFERROR(J87/I87,"")</f>
        <v/>
      </c>
      <c r="U87" s="37">
        <f>IFERROR(K87/C87,"")</f>
        <v/>
      </c>
      <c r="V87" s="36">
        <f>IFERROR(C87/J87,"")</f>
        <v/>
      </c>
      <c r="W87" s="36">
        <f>IFERROR(K87/J87,"")</f>
        <v/>
      </c>
      <c r="X87" s="37">
        <f>IFERROR(INDEX('Client Economics'!$J$5:$J$34,MATCH(B87,'Client Economics'!$A$5:$A$34,0)),"")</f>
        <v/>
      </c>
      <c r="Y87" s="37">
        <f>IFERROR(U87/X87,"")</f>
        <v/>
      </c>
      <c r="Z87" s="44">
        <f>IF(D87="","",IF(N(M87)&lt;'KPI Benchmarks'!$D$5,"Attention",IF(N(O87)&lt;'KPI Benchmarks'!$D$6,"Interest",IF(N(Q87)&lt;'KPI Benchmarks'!$D$8,"Page load",IF(N(R87)&lt;'KPI Benchmarks'!$D$9,"Buying intent",IF(N(S87)&lt;'KPI Benchmarks'!$D$10,"Cart",IF(N(T87)&lt;'KPI Benchmarks'!$D$11,"Checkout",IF(X87="","Add economics",IF(N(Y87)&lt;'KPI Benchmarks'!$D$12,"Economics","Healthy – scale")))))))))</f>
        <v/>
      </c>
      <c r="AA87" s="27">
        <f>IF(Z87="","",IF(Z87="Healthy – scale","All stages pass. Add $10–20/day or a new audience; test new creatives beside the main campaign.",IF(Z87="Add economics","Add this client to Client Economics.",IFERROR(INDEX('KPI Benchmarks'!$G$5:$G$12,MATCH(Z87,'KPI Benchmarks'!$A$5:$A$12,0)),""))))</f>
        <v/>
      </c>
      <c r="AB87" s="13" t="n"/>
    </row>
    <row r="88">
      <c r="A88" s="14" t="n"/>
      <c r="B88" s="13" t="n"/>
      <c r="C88" s="34" t="n"/>
      <c r="D88" s="40" t="n"/>
      <c r="E88" s="40" t="n"/>
      <c r="F88" s="40" t="n"/>
      <c r="G88" s="40" t="n"/>
      <c r="H88" s="40" t="n"/>
      <c r="I88" s="40" t="n"/>
      <c r="J88" s="40" t="n"/>
      <c r="K88" s="34" t="n"/>
      <c r="L88" s="36">
        <f>IFERROR(C88/D88*1000,"")</f>
        <v/>
      </c>
      <c r="M88" s="41">
        <f>IFERROR(E88/D88,"")</f>
        <v/>
      </c>
      <c r="N88" s="41">
        <f>IFERROR(F88/D88,"")</f>
        <v/>
      </c>
      <c r="O88" s="42">
        <f>IFERROR(N88/M88,"")</f>
        <v/>
      </c>
      <c r="P88" s="36">
        <f>IFERROR(C88/F88,"")</f>
        <v/>
      </c>
      <c r="Q88" s="42">
        <f>IFERROR(G88/F88,"")</f>
        <v/>
      </c>
      <c r="R88" s="43">
        <f>IFERROR(H88/G88,"")</f>
        <v/>
      </c>
      <c r="S88" s="42">
        <f>IFERROR(I88/H88,"")</f>
        <v/>
      </c>
      <c r="T88" s="42">
        <f>IFERROR(J88/I88,"")</f>
        <v/>
      </c>
      <c r="U88" s="37">
        <f>IFERROR(K88/C88,"")</f>
        <v/>
      </c>
      <c r="V88" s="36">
        <f>IFERROR(C88/J88,"")</f>
        <v/>
      </c>
      <c r="W88" s="36">
        <f>IFERROR(K88/J88,"")</f>
        <v/>
      </c>
      <c r="X88" s="37">
        <f>IFERROR(INDEX('Client Economics'!$J$5:$J$34,MATCH(B88,'Client Economics'!$A$5:$A$34,0)),"")</f>
        <v/>
      </c>
      <c r="Y88" s="37">
        <f>IFERROR(U88/X88,"")</f>
        <v/>
      </c>
      <c r="Z88" s="44">
        <f>IF(D88="","",IF(N(M88)&lt;'KPI Benchmarks'!$D$5,"Attention",IF(N(O88)&lt;'KPI Benchmarks'!$D$6,"Interest",IF(N(Q88)&lt;'KPI Benchmarks'!$D$8,"Page load",IF(N(R88)&lt;'KPI Benchmarks'!$D$9,"Buying intent",IF(N(S88)&lt;'KPI Benchmarks'!$D$10,"Cart",IF(N(T88)&lt;'KPI Benchmarks'!$D$11,"Checkout",IF(X88="","Add economics",IF(N(Y88)&lt;'KPI Benchmarks'!$D$12,"Economics","Healthy – scale")))))))))</f>
        <v/>
      </c>
      <c r="AA88" s="27">
        <f>IF(Z88="","",IF(Z88="Healthy – scale","All stages pass. Add $10–20/day or a new audience; test new creatives beside the main campaign.",IF(Z88="Add economics","Add this client to Client Economics.",IFERROR(INDEX('KPI Benchmarks'!$G$5:$G$12,MATCH(Z88,'KPI Benchmarks'!$A$5:$A$12,0)),""))))</f>
        <v/>
      </c>
      <c r="AB88" s="13" t="n"/>
    </row>
    <row r="89">
      <c r="A89" s="14" t="n"/>
      <c r="B89" s="13" t="n"/>
      <c r="C89" s="34" t="n"/>
      <c r="D89" s="40" t="n"/>
      <c r="E89" s="40" t="n"/>
      <c r="F89" s="40" t="n"/>
      <c r="G89" s="40" t="n"/>
      <c r="H89" s="40" t="n"/>
      <c r="I89" s="40" t="n"/>
      <c r="J89" s="40" t="n"/>
      <c r="K89" s="34" t="n"/>
      <c r="L89" s="36">
        <f>IFERROR(C89/D89*1000,"")</f>
        <v/>
      </c>
      <c r="M89" s="41">
        <f>IFERROR(E89/D89,"")</f>
        <v/>
      </c>
      <c r="N89" s="41">
        <f>IFERROR(F89/D89,"")</f>
        <v/>
      </c>
      <c r="O89" s="42">
        <f>IFERROR(N89/M89,"")</f>
        <v/>
      </c>
      <c r="P89" s="36">
        <f>IFERROR(C89/F89,"")</f>
        <v/>
      </c>
      <c r="Q89" s="42">
        <f>IFERROR(G89/F89,"")</f>
        <v/>
      </c>
      <c r="R89" s="43">
        <f>IFERROR(H89/G89,"")</f>
        <v/>
      </c>
      <c r="S89" s="42">
        <f>IFERROR(I89/H89,"")</f>
        <v/>
      </c>
      <c r="T89" s="42">
        <f>IFERROR(J89/I89,"")</f>
        <v/>
      </c>
      <c r="U89" s="37">
        <f>IFERROR(K89/C89,"")</f>
        <v/>
      </c>
      <c r="V89" s="36">
        <f>IFERROR(C89/J89,"")</f>
        <v/>
      </c>
      <c r="W89" s="36">
        <f>IFERROR(K89/J89,"")</f>
        <v/>
      </c>
      <c r="X89" s="37">
        <f>IFERROR(INDEX('Client Economics'!$J$5:$J$34,MATCH(B89,'Client Economics'!$A$5:$A$34,0)),"")</f>
        <v/>
      </c>
      <c r="Y89" s="37">
        <f>IFERROR(U89/X89,"")</f>
        <v/>
      </c>
      <c r="Z89" s="44">
        <f>IF(D89="","",IF(N(M89)&lt;'KPI Benchmarks'!$D$5,"Attention",IF(N(O89)&lt;'KPI Benchmarks'!$D$6,"Interest",IF(N(Q89)&lt;'KPI Benchmarks'!$D$8,"Page load",IF(N(R89)&lt;'KPI Benchmarks'!$D$9,"Buying intent",IF(N(S89)&lt;'KPI Benchmarks'!$D$10,"Cart",IF(N(T89)&lt;'KPI Benchmarks'!$D$11,"Checkout",IF(X89="","Add economics",IF(N(Y89)&lt;'KPI Benchmarks'!$D$12,"Economics","Healthy – scale")))))))))</f>
        <v/>
      </c>
      <c r="AA89" s="27">
        <f>IF(Z89="","",IF(Z89="Healthy – scale","All stages pass. Add $10–20/day or a new audience; test new creatives beside the main campaign.",IF(Z89="Add economics","Add this client to Client Economics.",IFERROR(INDEX('KPI Benchmarks'!$G$5:$G$12,MATCH(Z89,'KPI Benchmarks'!$A$5:$A$12,0)),""))))</f>
        <v/>
      </c>
      <c r="AB89" s="13" t="n"/>
    </row>
    <row r="90">
      <c r="A90" s="14" t="n"/>
      <c r="B90" s="13" t="n"/>
      <c r="C90" s="34" t="n"/>
      <c r="D90" s="40" t="n"/>
      <c r="E90" s="40" t="n"/>
      <c r="F90" s="40" t="n"/>
      <c r="G90" s="40" t="n"/>
      <c r="H90" s="40" t="n"/>
      <c r="I90" s="40" t="n"/>
      <c r="J90" s="40" t="n"/>
      <c r="K90" s="34" t="n"/>
      <c r="L90" s="36">
        <f>IFERROR(C90/D90*1000,"")</f>
        <v/>
      </c>
      <c r="M90" s="41">
        <f>IFERROR(E90/D90,"")</f>
        <v/>
      </c>
      <c r="N90" s="41">
        <f>IFERROR(F90/D90,"")</f>
        <v/>
      </c>
      <c r="O90" s="42">
        <f>IFERROR(N90/M90,"")</f>
        <v/>
      </c>
      <c r="P90" s="36">
        <f>IFERROR(C90/F90,"")</f>
        <v/>
      </c>
      <c r="Q90" s="42">
        <f>IFERROR(G90/F90,"")</f>
        <v/>
      </c>
      <c r="R90" s="43">
        <f>IFERROR(H90/G90,"")</f>
        <v/>
      </c>
      <c r="S90" s="42">
        <f>IFERROR(I90/H90,"")</f>
        <v/>
      </c>
      <c r="T90" s="42">
        <f>IFERROR(J90/I90,"")</f>
        <v/>
      </c>
      <c r="U90" s="37">
        <f>IFERROR(K90/C90,"")</f>
        <v/>
      </c>
      <c r="V90" s="36">
        <f>IFERROR(C90/J90,"")</f>
        <v/>
      </c>
      <c r="W90" s="36">
        <f>IFERROR(K90/J90,"")</f>
        <v/>
      </c>
      <c r="X90" s="37">
        <f>IFERROR(INDEX('Client Economics'!$J$5:$J$34,MATCH(B90,'Client Economics'!$A$5:$A$34,0)),"")</f>
        <v/>
      </c>
      <c r="Y90" s="37">
        <f>IFERROR(U90/X90,"")</f>
        <v/>
      </c>
      <c r="Z90" s="44">
        <f>IF(D90="","",IF(N(M90)&lt;'KPI Benchmarks'!$D$5,"Attention",IF(N(O90)&lt;'KPI Benchmarks'!$D$6,"Interest",IF(N(Q90)&lt;'KPI Benchmarks'!$D$8,"Page load",IF(N(R90)&lt;'KPI Benchmarks'!$D$9,"Buying intent",IF(N(S90)&lt;'KPI Benchmarks'!$D$10,"Cart",IF(N(T90)&lt;'KPI Benchmarks'!$D$11,"Checkout",IF(X90="","Add economics",IF(N(Y90)&lt;'KPI Benchmarks'!$D$12,"Economics","Healthy – scale")))))))))</f>
        <v/>
      </c>
      <c r="AA90" s="27">
        <f>IF(Z90="","",IF(Z90="Healthy – scale","All stages pass. Add $10–20/day or a new audience; test new creatives beside the main campaign.",IF(Z90="Add economics","Add this client to Client Economics.",IFERROR(INDEX('KPI Benchmarks'!$G$5:$G$12,MATCH(Z90,'KPI Benchmarks'!$A$5:$A$12,0)),""))))</f>
        <v/>
      </c>
      <c r="AB90" s="13" t="n"/>
    </row>
    <row r="91">
      <c r="A91" s="14" t="n"/>
      <c r="B91" s="13" t="n"/>
      <c r="C91" s="34" t="n"/>
      <c r="D91" s="40" t="n"/>
      <c r="E91" s="40" t="n"/>
      <c r="F91" s="40" t="n"/>
      <c r="G91" s="40" t="n"/>
      <c r="H91" s="40" t="n"/>
      <c r="I91" s="40" t="n"/>
      <c r="J91" s="40" t="n"/>
      <c r="K91" s="34" t="n"/>
      <c r="L91" s="36">
        <f>IFERROR(C91/D91*1000,"")</f>
        <v/>
      </c>
      <c r="M91" s="41">
        <f>IFERROR(E91/D91,"")</f>
        <v/>
      </c>
      <c r="N91" s="41">
        <f>IFERROR(F91/D91,"")</f>
        <v/>
      </c>
      <c r="O91" s="42">
        <f>IFERROR(N91/M91,"")</f>
        <v/>
      </c>
      <c r="P91" s="36">
        <f>IFERROR(C91/F91,"")</f>
        <v/>
      </c>
      <c r="Q91" s="42">
        <f>IFERROR(G91/F91,"")</f>
        <v/>
      </c>
      <c r="R91" s="43">
        <f>IFERROR(H91/G91,"")</f>
        <v/>
      </c>
      <c r="S91" s="42">
        <f>IFERROR(I91/H91,"")</f>
        <v/>
      </c>
      <c r="T91" s="42">
        <f>IFERROR(J91/I91,"")</f>
        <v/>
      </c>
      <c r="U91" s="37">
        <f>IFERROR(K91/C91,"")</f>
        <v/>
      </c>
      <c r="V91" s="36">
        <f>IFERROR(C91/J91,"")</f>
        <v/>
      </c>
      <c r="W91" s="36">
        <f>IFERROR(K91/J91,"")</f>
        <v/>
      </c>
      <c r="X91" s="37">
        <f>IFERROR(INDEX('Client Economics'!$J$5:$J$34,MATCH(B91,'Client Economics'!$A$5:$A$34,0)),"")</f>
        <v/>
      </c>
      <c r="Y91" s="37">
        <f>IFERROR(U91/X91,"")</f>
        <v/>
      </c>
      <c r="Z91" s="44">
        <f>IF(D91="","",IF(N(M91)&lt;'KPI Benchmarks'!$D$5,"Attention",IF(N(O91)&lt;'KPI Benchmarks'!$D$6,"Interest",IF(N(Q91)&lt;'KPI Benchmarks'!$D$8,"Page load",IF(N(R91)&lt;'KPI Benchmarks'!$D$9,"Buying intent",IF(N(S91)&lt;'KPI Benchmarks'!$D$10,"Cart",IF(N(T91)&lt;'KPI Benchmarks'!$D$11,"Checkout",IF(X91="","Add economics",IF(N(Y91)&lt;'KPI Benchmarks'!$D$12,"Economics","Healthy – scale")))))))))</f>
        <v/>
      </c>
      <c r="AA91" s="27">
        <f>IF(Z91="","",IF(Z91="Healthy – scale","All stages pass. Add $10–20/day or a new audience; test new creatives beside the main campaign.",IF(Z91="Add economics","Add this client to Client Economics.",IFERROR(INDEX('KPI Benchmarks'!$G$5:$G$12,MATCH(Z91,'KPI Benchmarks'!$A$5:$A$12,0)),""))))</f>
        <v/>
      </c>
      <c r="AB91" s="13" t="n"/>
    </row>
    <row r="92">
      <c r="A92" s="14" t="n"/>
      <c r="B92" s="13" t="n"/>
      <c r="C92" s="34" t="n"/>
      <c r="D92" s="40" t="n"/>
      <c r="E92" s="40" t="n"/>
      <c r="F92" s="40" t="n"/>
      <c r="G92" s="40" t="n"/>
      <c r="H92" s="40" t="n"/>
      <c r="I92" s="40" t="n"/>
      <c r="J92" s="40" t="n"/>
      <c r="K92" s="34" t="n"/>
      <c r="L92" s="36">
        <f>IFERROR(C92/D92*1000,"")</f>
        <v/>
      </c>
      <c r="M92" s="41">
        <f>IFERROR(E92/D92,"")</f>
        <v/>
      </c>
      <c r="N92" s="41">
        <f>IFERROR(F92/D92,"")</f>
        <v/>
      </c>
      <c r="O92" s="42">
        <f>IFERROR(N92/M92,"")</f>
        <v/>
      </c>
      <c r="P92" s="36">
        <f>IFERROR(C92/F92,"")</f>
        <v/>
      </c>
      <c r="Q92" s="42">
        <f>IFERROR(G92/F92,"")</f>
        <v/>
      </c>
      <c r="R92" s="43">
        <f>IFERROR(H92/G92,"")</f>
        <v/>
      </c>
      <c r="S92" s="42">
        <f>IFERROR(I92/H92,"")</f>
        <v/>
      </c>
      <c r="T92" s="42">
        <f>IFERROR(J92/I92,"")</f>
        <v/>
      </c>
      <c r="U92" s="37">
        <f>IFERROR(K92/C92,"")</f>
        <v/>
      </c>
      <c r="V92" s="36">
        <f>IFERROR(C92/J92,"")</f>
        <v/>
      </c>
      <c r="W92" s="36">
        <f>IFERROR(K92/J92,"")</f>
        <v/>
      </c>
      <c r="X92" s="37">
        <f>IFERROR(INDEX('Client Economics'!$J$5:$J$34,MATCH(B92,'Client Economics'!$A$5:$A$34,0)),"")</f>
        <v/>
      </c>
      <c r="Y92" s="37">
        <f>IFERROR(U92/X92,"")</f>
        <v/>
      </c>
      <c r="Z92" s="44">
        <f>IF(D92="","",IF(N(M92)&lt;'KPI Benchmarks'!$D$5,"Attention",IF(N(O92)&lt;'KPI Benchmarks'!$D$6,"Interest",IF(N(Q92)&lt;'KPI Benchmarks'!$D$8,"Page load",IF(N(R92)&lt;'KPI Benchmarks'!$D$9,"Buying intent",IF(N(S92)&lt;'KPI Benchmarks'!$D$10,"Cart",IF(N(T92)&lt;'KPI Benchmarks'!$D$11,"Checkout",IF(X92="","Add economics",IF(N(Y92)&lt;'KPI Benchmarks'!$D$12,"Economics","Healthy – scale")))))))))</f>
        <v/>
      </c>
      <c r="AA92" s="27">
        <f>IF(Z92="","",IF(Z92="Healthy – scale","All stages pass. Add $10–20/day or a new audience; test new creatives beside the main campaign.",IF(Z92="Add economics","Add this client to Client Economics.",IFERROR(INDEX('KPI Benchmarks'!$G$5:$G$12,MATCH(Z92,'KPI Benchmarks'!$A$5:$A$12,0)),""))))</f>
        <v/>
      </c>
      <c r="AB92" s="13" t="n"/>
    </row>
    <row r="93">
      <c r="A93" s="14" t="n"/>
      <c r="B93" s="13" t="n"/>
      <c r="C93" s="34" t="n"/>
      <c r="D93" s="40" t="n"/>
      <c r="E93" s="40" t="n"/>
      <c r="F93" s="40" t="n"/>
      <c r="G93" s="40" t="n"/>
      <c r="H93" s="40" t="n"/>
      <c r="I93" s="40" t="n"/>
      <c r="J93" s="40" t="n"/>
      <c r="K93" s="34" t="n"/>
      <c r="L93" s="36">
        <f>IFERROR(C93/D93*1000,"")</f>
        <v/>
      </c>
      <c r="M93" s="41">
        <f>IFERROR(E93/D93,"")</f>
        <v/>
      </c>
      <c r="N93" s="41">
        <f>IFERROR(F93/D93,"")</f>
        <v/>
      </c>
      <c r="O93" s="42">
        <f>IFERROR(N93/M93,"")</f>
        <v/>
      </c>
      <c r="P93" s="36">
        <f>IFERROR(C93/F93,"")</f>
        <v/>
      </c>
      <c r="Q93" s="42">
        <f>IFERROR(G93/F93,"")</f>
        <v/>
      </c>
      <c r="R93" s="43">
        <f>IFERROR(H93/G93,"")</f>
        <v/>
      </c>
      <c r="S93" s="42">
        <f>IFERROR(I93/H93,"")</f>
        <v/>
      </c>
      <c r="T93" s="42">
        <f>IFERROR(J93/I93,"")</f>
        <v/>
      </c>
      <c r="U93" s="37">
        <f>IFERROR(K93/C93,"")</f>
        <v/>
      </c>
      <c r="V93" s="36">
        <f>IFERROR(C93/J93,"")</f>
        <v/>
      </c>
      <c r="W93" s="36">
        <f>IFERROR(K93/J93,"")</f>
        <v/>
      </c>
      <c r="X93" s="37">
        <f>IFERROR(INDEX('Client Economics'!$J$5:$J$34,MATCH(B93,'Client Economics'!$A$5:$A$34,0)),"")</f>
        <v/>
      </c>
      <c r="Y93" s="37">
        <f>IFERROR(U93/X93,"")</f>
        <v/>
      </c>
      <c r="Z93" s="44">
        <f>IF(D93="","",IF(N(M93)&lt;'KPI Benchmarks'!$D$5,"Attention",IF(N(O93)&lt;'KPI Benchmarks'!$D$6,"Interest",IF(N(Q93)&lt;'KPI Benchmarks'!$D$8,"Page load",IF(N(R93)&lt;'KPI Benchmarks'!$D$9,"Buying intent",IF(N(S93)&lt;'KPI Benchmarks'!$D$10,"Cart",IF(N(T93)&lt;'KPI Benchmarks'!$D$11,"Checkout",IF(X93="","Add economics",IF(N(Y93)&lt;'KPI Benchmarks'!$D$12,"Economics","Healthy – scale")))))))))</f>
        <v/>
      </c>
      <c r="AA93" s="27">
        <f>IF(Z93="","",IF(Z93="Healthy – scale","All stages pass. Add $10–20/day or a new audience; test new creatives beside the main campaign.",IF(Z93="Add economics","Add this client to Client Economics.",IFERROR(INDEX('KPI Benchmarks'!$G$5:$G$12,MATCH(Z93,'KPI Benchmarks'!$A$5:$A$12,0)),""))))</f>
        <v/>
      </c>
      <c r="AB93" s="13" t="n"/>
    </row>
    <row r="94">
      <c r="A94" s="14" t="n"/>
      <c r="B94" s="13" t="n"/>
      <c r="C94" s="34" t="n"/>
      <c r="D94" s="40" t="n"/>
      <c r="E94" s="40" t="n"/>
      <c r="F94" s="40" t="n"/>
      <c r="G94" s="40" t="n"/>
      <c r="H94" s="40" t="n"/>
      <c r="I94" s="40" t="n"/>
      <c r="J94" s="40" t="n"/>
      <c r="K94" s="34" t="n"/>
      <c r="L94" s="36">
        <f>IFERROR(C94/D94*1000,"")</f>
        <v/>
      </c>
      <c r="M94" s="41">
        <f>IFERROR(E94/D94,"")</f>
        <v/>
      </c>
      <c r="N94" s="41">
        <f>IFERROR(F94/D94,"")</f>
        <v/>
      </c>
      <c r="O94" s="42">
        <f>IFERROR(N94/M94,"")</f>
        <v/>
      </c>
      <c r="P94" s="36">
        <f>IFERROR(C94/F94,"")</f>
        <v/>
      </c>
      <c r="Q94" s="42">
        <f>IFERROR(G94/F94,"")</f>
        <v/>
      </c>
      <c r="R94" s="43">
        <f>IFERROR(H94/G94,"")</f>
        <v/>
      </c>
      <c r="S94" s="42">
        <f>IFERROR(I94/H94,"")</f>
        <v/>
      </c>
      <c r="T94" s="42">
        <f>IFERROR(J94/I94,"")</f>
        <v/>
      </c>
      <c r="U94" s="37">
        <f>IFERROR(K94/C94,"")</f>
        <v/>
      </c>
      <c r="V94" s="36">
        <f>IFERROR(C94/J94,"")</f>
        <v/>
      </c>
      <c r="W94" s="36">
        <f>IFERROR(K94/J94,"")</f>
        <v/>
      </c>
      <c r="X94" s="37">
        <f>IFERROR(INDEX('Client Economics'!$J$5:$J$34,MATCH(B94,'Client Economics'!$A$5:$A$34,0)),"")</f>
        <v/>
      </c>
      <c r="Y94" s="37">
        <f>IFERROR(U94/X94,"")</f>
        <v/>
      </c>
      <c r="Z94" s="44">
        <f>IF(D94="","",IF(N(M94)&lt;'KPI Benchmarks'!$D$5,"Attention",IF(N(O94)&lt;'KPI Benchmarks'!$D$6,"Interest",IF(N(Q94)&lt;'KPI Benchmarks'!$D$8,"Page load",IF(N(R94)&lt;'KPI Benchmarks'!$D$9,"Buying intent",IF(N(S94)&lt;'KPI Benchmarks'!$D$10,"Cart",IF(N(T94)&lt;'KPI Benchmarks'!$D$11,"Checkout",IF(X94="","Add economics",IF(N(Y94)&lt;'KPI Benchmarks'!$D$12,"Economics","Healthy – scale")))))))))</f>
        <v/>
      </c>
      <c r="AA94" s="27">
        <f>IF(Z94="","",IF(Z94="Healthy – scale","All stages pass. Add $10–20/day or a new audience; test new creatives beside the main campaign.",IF(Z94="Add economics","Add this client to Client Economics.",IFERROR(INDEX('KPI Benchmarks'!$G$5:$G$12,MATCH(Z94,'KPI Benchmarks'!$A$5:$A$12,0)),""))))</f>
        <v/>
      </c>
      <c r="AB94" s="13" t="n"/>
    </row>
    <row r="95">
      <c r="A95" s="14" t="n"/>
      <c r="B95" s="13" t="n"/>
      <c r="C95" s="34" t="n"/>
      <c r="D95" s="40" t="n"/>
      <c r="E95" s="40" t="n"/>
      <c r="F95" s="40" t="n"/>
      <c r="G95" s="40" t="n"/>
      <c r="H95" s="40" t="n"/>
      <c r="I95" s="40" t="n"/>
      <c r="J95" s="40" t="n"/>
      <c r="K95" s="34" t="n"/>
      <c r="L95" s="36">
        <f>IFERROR(C95/D95*1000,"")</f>
        <v/>
      </c>
      <c r="M95" s="41">
        <f>IFERROR(E95/D95,"")</f>
        <v/>
      </c>
      <c r="N95" s="41">
        <f>IFERROR(F95/D95,"")</f>
        <v/>
      </c>
      <c r="O95" s="42">
        <f>IFERROR(N95/M95,"")</f>
        <v/>
      </c>
      <c r="P95" s="36">
        <f>IFERROR(C95/F95,"")</f>
        <v/>
      </c>
      <c r="Q95" s="42">
        <f>IFERROR(G95/F95,"")</f>
        <v/>
      </c>
      <c r="R95" s="43">
        <f>IFERROR(H95/G95,"")</f>
        <v/>
      </c>
      <c r="S95" s="42">
        <f>IFERROR(I95/H95,"")</f>
        <v/>
      </c>
      <c r="T95" s="42">
        <f>IFERROR(J95/I95,"")</f>
        <v/>
      </c>
      <c r="U95" s="37">
        <f>IFERROR(K95/C95,"")</f>
        <v/>
      </c>
      <c r="V95" s="36">
        <f>IFERROR(C95/J95,"")</f>
        <v/>
      </c>
      <c r="W95" s="36">
        <f>IFERROR(K95/J95,"")</f>
        <v/>
      </c>
      <c r="X95" s="37">
        <f>IFERROR(INDEX('Client Economics'!$J$5:$J$34,MATCH(B95,'Client Economics'!$A$5:$A$34,0)),"")</f>
        <v/>
      </c>
      <c r="Y95" s="37">
        <f>IFERROR(U95/X95,"")</f>
        <v/>
      </c>
      <c r="Z95" s="44">
        <f>IF(D95="","",IF(N(M95)&lt;'KPI Benchmarks'!$D$5,"Attention",IF(N(O95)&lt;'KPI Benchmarks'!$D$6,"Interest",IF(N(Q95)&lt;'KPI Benchmarks'!$D$8,"Page load",IF(N(R95)&lt;'KPI Benchmarks'!$D$9,"Buying intent",IF(N(S95)&lt;'KPI Benchmarks'!$D$10,"Cart",IF(N(T95)&lt;'KPI Benchmarks'!$D$11,"Checkout",IF(X95="","Add economics",IF(N(Y95)&lt;'KPI Benchmarks'!$D$12,"Economics","Healthy – scale")))))))))</f>
        <v/>
      </c>
      <c r="AA95" s="27">
        <f>IF(Z95="","",IF(Z95="Healthy – scale","All stages pass. Add $10–20/day or a new audience; test new creatives beside the main campaign.",IF(Z95="Add economics","Add this client to Client Economics.",IFERROR(INDEX('KPI Benchmarks'!$G$5:$G$12,MATCH(Z95,'KPI Benchmarks'!$A$5:$A$12,0)),""))))</f>
        <v/>
      </c>
      <c r="AB95" s="13" t="n"/>
    </row>
    <row r="96">
      <c r="A96" s="14" t="n"/>
      <c r="B96" s="13" t="n"/>
      <c r="C96" s="34" t="n"/>
      <c r="D96" s="40" t="n"/>
      <c r="E96" s="40" t="n"/>
      <c r="F96" s="40" t="n"/>
      <c r="G96" s="40" t="n"/>
      <c r="H96" s="40" t="n"/>
      <c r="I96" s="40" t="n"/>
      <c r="J96" s="40" t="n"/>
      <c r="K96" s="34" t="n"/>
      <c r="L96" s="36">
        <f>IFERROR(C96/D96*1000,"")</f>
        <v/>
      </c>
      <c r="M96" s="41">
        <f>IFERROR(E96/D96,"")</f>
        <v/>
      </c>
      <c r="N96" s="41">
        <f>IFERROR(F96/D96,"")</f>
        <v/>
      </c>
      <c r="O96" s="42">
        <f>IFERROR(N96/M96,"")</f>
        <v/>
      </c>
      <c r="P96" s="36">
        <f>IFERROR(C96/F96,"")</f>
        <v/>
      </c>
      <c r="Q96" s="42">
        <f>IFERROR(G96/F96,"")</f>
        <v/>
      </c>
      <c r="R96" s="43">
        <f>IFERROR(H96/G96,"")</f>
        <v/>
      </c>
      <c r="S96" s="42">
        <f>IFERROR(I96/H96,"")</f>
        <v/>
      </c>
      <c r="T96" s="42">
        <f>IFERROR(J96/I96,"")</f>
        <v/>
      </c>
      <c r="U96" s="37">
        <f>IFERROR(K96/C96,"")</f>
        <v/>
      </c>
      <c r="V96" s="36">
        <f>IFERROR(C96/J96,"")</f>
        <v/>
      </c>
      <c r="W96" s="36">
        <f>IFERROR(K96/J96,"")</f>
        <v/>
      </c>
      <c r="X96" s="37">
        <f>IFERROR(INDEX('Client Economics'!$J$5:$J$34,MATCH(B96,'Client Economics'!$A$5:$A$34,0)),"")</f>
        <v/>
      </c>
      <c r="Y96" s="37">
        <f>IFERROR(U96/X96,"")</f>
        <v/>
      </c>
      <c r="Z96" s="44">
        <f>IF(D96="","",IF(N(M96)&lt;'KPI Benchmarks'!$D$5,"Attention",IF(N(O96)&lt;'KPI Benchmarks'!$D$6,"Interest",IF(N(Q96)&lt;'KPI Benchmarks'!$D$8,"Page load",IF(N(R96)&lt;'KPI Benchmarks'!$D$9,"Buying intent",IF(N(S96)&lt;'KPI Benchmarks'!$D$10,"Cart",IF(N(T96)&lt;'KPI Benchmarks'!$D$11,"Checkout",IF(X96="","Add economics",IF(N(Y96)&lt;'KPI Benchmarks'!$D$12,"Economics","Healthy – scale")))))))))</f>
        <v/>
      </c>
      <c r="AA96" s="27">
        <f>IF(Z96="","",IF(Z96="Healthy – scale","All stages pass. Add $10–20/day or a new audience; test new creatives beside the main campaign.",IF(Z96="Add economics","Add this client to Client Economics.",IFERROR(INDEX('KPI Benchmarks'!$G$5:$G$12,MATCH(Z96,'KPI Benchmarks'!$A$5:$A$12,0)),""))))</f>
        <v/>
      </c>
      <c r="AB96" s="13" t="n"/>
    </row>
    <row r="97">
      <c r="A97" s="14" t="n"/>
      <c r="B97" s="13" t="n"/>
      <c r="C97" s="34" t="n"/>
      <c r="D97" s="40" t="n"/>
      <c r="E97" s="40" t="n"/>
      <c r="F97" s="40" t="n"/>
      <c r="G97" s="40" t="n"/>
      <c r="H97" s="40" t="n"/>
      <c r="I97" s="40" t="n"/>
      <c r="J97" s="40" t="n"/>
      <c r="K97" s="34" t="n"/>
      <c r="L97" s="36">
        <f>IFERROR(C97/D97*1000,"")</f>
        <v/>
      </c>
      <c r="M97" s="41">
        <f>IFERROR(E97/D97,"")</f>
        <v/>
      </c>
      <c r="N97" s="41">
        <f>IFERROR(F97/D97,"")</f>
        <v/>
      </c>
      <c r="O97" s="42">
        <f>IFERROR(N97/M97,"")</f>
        <v/>
      </c>
      <c r="P97" s="36">
        <f>IFERROR(C97/F97,"")</f>
        <v/>
      </c>
      <c r="Q97" s="42">
        <f>IFERROR(G97/F97,"")</f>
        <v/>
      </c>
      <c r="R97" s="43">
        <f>IFERROR(H97/G97,"")</f>
        <v/>
      </c>
      <c r="S97" s="42">
        <f>IFERROR(I97/H97,"")</f>
        <v/>
      </c>
      <c r="T97" s="42">
        <f>IFERROR(J97/I97,"")</f>
        <v/>
      </c>
      <c r="U97" s="37">
        <f>IFERROR(K97/C97,"")</f>
        <v/>
      </c>
      <c r="V97" s="36">
        <f>IFERROR(C97/J97,"")</f>
        <v/>
      </c>
      <c r="W97" s="36">
        <f>IFERROR(K97/J97,"")</f>
        <v/>
      </c>
      <c r="X97" s="37">
        <f>IFERROR(INDEX('Client Economics'!$J$5:$J$34,MATCH(B97,'Client Economics'!$A$5:$A$34,0)),"")</f>
        <v/>
      </c>
      <c r="Y97" s="37">
        <f>IFERROR(U97/X97,"")</f>
        <v/>
      </c>
      <c r="Z97" s="44">
        <f>IF(D97="","",IF(N(M97)&lt;'KPI Benchmarks'!$D$5,"Attention",IF(N(O97)&lt;'KPI Benchmarks'!$D$6,"Interest",IF(N(Q97)&lt;'KPI Benchmarks'!$D$8,"Page load",IF(N(R97)&lt;'KPI Benchmarks'!$D$9,"Buying intent",IF(N(S97)&lt;'KPI Benchmarks'!$D$10,"Cart",IF(N(T97)&lt;'KPI Benchmarks'!$D$11,"Checkout",IF(X97="","Add economics",IF(N(Y97)&lt;'KPI Benchmarks'!$D$12,"Economics","Healthy – scale")))))))))</f>
        <v/>
      </c>
      <c r="AA97" s="27">
        <f>IF(Z97="","",IF(Z97="Healthy – scale","All stages pass. Add $10–20/day or a new audience; test new creatives beside the main campaign.",IF(Z97="Add economics","Add this client to Client Economics.",IFERROR(INDEX('KPI Benchmarks'!$G$5:$G$12,MATCH(Z97,'KPI Benchmarks'!$A$5:$A$12,0)),""))))</f>
        <v/>
      </c>
      <c r="AB97" s="13" t="n"/>
    </row>
    <row r="98">
      <c r="A98" s="14" t="n"/>
      <c r="B98" s="13" t="n"/>
      <c r="C98" s="34" t="n"/>
      <c r="D98" s="40" t="n"/>
      <c r="E98" s="40" t="n"/>
      <c r="F98" s="40" t="n"/>
      <c r="G98" s="40" t="n"/>
      <c r="H98" s="40" t="n"/>
      <c r="I98" s="40" t="n"/>
      <c r="J98" s="40" t="n"/>
      <c r="K98" s="34" t="n"/>
      <c r="L98" s="36">
        <f>IFERROR(C98/D98*1000,"")</f>
        <v/>
      </c>
      <c r="M98" s="41">
        <f>IFERROR(E98/D98,"")</f>
        <v/>
      </c>
      <c r="N98" s="41">
        <f>IFERROR(F98/D98,"")</f>
        <v/>
      </c>
      <c r="O98" s="42">
        <f>IFERROR(N98/M98,"")</f>
        <v/>
      </c>
      <c r="P98" s="36">
        <f>IFERROR(C98/F98,"")</f>
        <v/>
      </c>
      <c r="Q98" s="42">
        <f>IFERROR(G98/F98,"")</f>
        <v/>
      </c>
      <c r="R98" s="43">
        <f>IFERROR(H98/G98,"")</f>
        <v/>
      </c>
      <c r="S98" s="42">
        <f>IFERROR(I98/H98,"")</f>
        <v/>
      </c>
      <c r="T98" s="42">
        <f>IFERROR(J98/I98,"")</f>
        <v/>
      </c>
      <c r="U98" s="37">
        <f>IFERROR(K98/C98,"")</f>
        <v/>
      </c>
      <c r="V98" s="36">
        <f>IFERROR(C98/J98,"")</f>
        <v/>
      </c>
      <c r="W98" s="36">
        <f>IFERROR(K98/J98,"")</f>
        <v/>
      </c>
      <c r="X98" s="37">
        <f>IFERROR(INDEX('Client Economics'!$J$5:$J$34,MATCH(B98,'Client Economics'!$A$5:$A$34,0)),"")</f>
        <v/>
      </c>
      <c r="Y98" s="37">
        <f>IFERROR(U98/X98,"")</f>
        <v/>
      </c>
      <c r="Z98" s="44">
        <f>IF(D98="","",IF(N(M98)&lt;'KPI Benchmarks'!$D$5,"Attention",IF(N(O98)&lt;'KPI Benchmarks'!$D$6,"Interest",IF(N(Q98)&lt;'KPI Benchmarks'!$D$8,"Page load",IF(N(R98)&lt;'KPI Benchmarks'!$D$9,"Buying intent",IF(N(S98)&lt;'KPI Benchmarks'!$D$10,"Cart",IF(N(T98)&lt;'KPI Benchmarks'!$D$11,"Checkout",IF(X98="","Add economics",IF(N(Y98)&lt;'KPI Benchmarks'!$D$12,"Economics","Healthy – scale")))))))))</f>
        <v/>
      </c>
      <c r="AA98" s="27">
        <f>IF(Z98="","",IF(Z98="Healthy – scale","All stages pass. Add $10–20/day or a new audience; test new creatives beside the main campaign.",IF(Z98="Add economics","Add this client to Client Economics.",IFERROR(INDEX('KPI Benchmarks'!$G$5:$G$12,MATCH(Z98,'KPI Benchmarks'!$A$5:$A$12,0)),""))))</f>
        <v/>
      </c>
      <c r="AB98" s="13" t="n"/>
    </row>
    <row r="99">
      <c r="A99" s="14" t="n"/>
      <c r="B99" s="13" t="n"/>
      <c r="C99" s="34" t="n"/>
      <c r="D99" s="40" t="n"/>
      <c r="E99" s="40" t="n"/>
      <c r="F99" s="40" t="n"/>
      <c r="G99" s="40" t="n"/>
      <c r="H99" s="40" t="n"/>
      <c r="I99" s="40" t="n"/>
      <c r="J99" s="40" t="n"/>
      <c r="K99" s="34" t="n"/>
      <c r="L99" s="36">
        <f>IFERROR(C99/D99*1000,"")</f>
        <v/>
      </c>
      <c r="M99" s="41">
        <f>IFERROR(E99/D99,"")</f>
        <v/>
      </c>
      <c r="N99" s="41">
        <f>IFERROR(F99/D99,"")</f>
        <v/>
      </c>
      <c r="O99" s="42">
        <f>IFERROR(N99/M99,"")</f>
        <v/>
      </c>
      <c r="P99" s="36">
        <f>IFERROR(C99/F99,"")</f>
        <v/>
      </c>
      <c r="Q99" s="42">
        <f>IFERROR(G99/F99,"")</f>
        <v/>
      </c>
      <c r="R99" s="43">
        <f>IFERROR(H99/G99,"")</f>
        <v/>
      </c>
      <c r="S99" s="42">
        <f>IFERROR(I99/H99,"")</f>
        <v/>
      </c>
      <c r="T99" s="42">
        <f>IFERROR(J99/I99,"")</f>
        <v/>
      </c>
      <c r="U99" s="37">
        <f>IFERROR(K99/C99,"")</f>
        <v/>
      </c>
      <c r="V99" s="36">
        <f>IFERROR(C99/J99,"")</f>
        <v/>
      </c>
      <c r="W99" s="36">
        <f>IFERROR(K99/J99,"")</f>
        <v/>
      </c>
      <c r="X99" s="37">
        <f>IFERROR(INDEX('Client Economics'!$J$5:$J$34,MATCH(B99,'Client Economics'!$A$5:$A$34,0)),"")</f>
        <v/>
      </c>
      <c r="Y99" s="37">
        <f>IFERROR(U99/X99,"")</f>
        <v/>
      </c>
      <c r="Z99" s="44">
        <f>IF(D99="","",IF(N(M99)&lt;'KPI Benchmarks'!$D$5,"Attention",IF(N(O99)&lt;'KPI Benchmarks'!$D$6,"Interest",IF(N(Q99)&lt;'KPI Benchmarks'!$D$8,"Page load",IF(N(R99)&lt;'KPI Benchmarks'!$D$9,"Buying intent",IF(N(S99)&lt;'KPI Benchmarks'!$D$10,"Cart",IF(N(T99)&lt;'KPI Benchmarks'!$D$11,"Checkout",IF(X99="","Add economics",IF(N(Y99)&lt;'KPI Benchmarks'!$D$12,"Economics","Healthy – scale")))))))))</f>
        <v/>
      </c>
      <c r="AA99" s="27">
        <f>IF(Z99="","",IF(Z99="Healthy – scale","All stages pass. Add $10–20/day or a new audience; test new creatives beside the main campaign.",IF(Z99="Add economics","Add this client to Client Economics.",IFERROR(INDEX('KPI Benchmarks'!$G$5:$G$12,MATCH(Z99,'KPI Benchmarks'!$A$5:$A$12,0)),""))))</f>
        <v/>
      </c>
      <c r="AB99" s="13" t="n"/>
    </row>
    <row r="100">
      <c r="A100" s="14" t="n"/>
      <c r="B100" s="13" t="n"/>
      <c r="C100" s="34" t="n"/>
      <c r="D100" s="40" t="n"/>
      <c r="E100" s="40" t="n"/>
      <c r="F100" s="40" t="n"/>
      <c r="G100" s="40" t="n"/>
      <c r="H100" s="40" t="n"/>
      <c r="I100" s="40" t="n"/>
      <c r="J100" s="40" t="n"/>
      <c r="K100" s="34" t="n"/>
      <c r="L100" s="36">
        <f>IFERROR(C100/D100*1000,"")</f>
        <v/>
      </c>
      <c r="M100" s="41">
        <f>IFERROR(E100/D100,"")</f>
        <v/>
      </c>
      <c r="N100" s="41">
        <f>IFERROR(F100/D100,"")</f>
        <v/>
      </c>
      <c r="O100" s="42">
        <f>IFERROR(N100/M100,"")</f>
        <v/>
      </c>
      <c r="P100" s="36">
        <f>IFERROR(C100/F100,"")</f>
        <v/>
      </c>
      <c r="Q100" s="42">
        <f>IFERROR(G100/F100,"")</f>
        <v/>
      </c>
      <c r="R100" s="43">
        <f>IFERROR(H100/G100,"")</f>
        <v/>
      </c>
      <c r="S100" s="42">
        <f>IFERROR(I100/H100,"")</f>
        <v/>
      </c>
      <c r="T100" s="42">
        <f>IFERROR(J100/I100,"")</f>
        <v/>
      </c>
      <c r="U100" s="37">
        <f>IFERROR(K100/C100,"")</f>
        <v/>
      </c>
      <c r="V100" s="36">
        <f>IFERROR(C100/J100,"")</f>
        <v/>
      </c>
      <c r="W100" s="36">
        <f>IFERROR(K100/J100,"")</f>
        <v/>
      </c>
      <c r="X100" s="37">
        <f>IFERROR(INDEX('Client Economics'!$J$5:$J$34,MATCH(B100,'Client Economics'!$A$5:$A$34,0)),"")</f>
        <v/>
      </c>
      <c r="Y100" s="37">
        <f>IFERROR(U100/X100,"")</f>
        <v/>
      </c>
      <c r="Z100" s="44">
        <f>IF(D100="","",IF(N(M100)&lt;'KPI Benchmarks'!$D$5,"Attention",IF(N(O100)&lt;'KPI Benchmarks'!$D$6,"Interest",IF(N(Q100)&lt;'KPI Benchmarks'!$D$8,"Page load",IF(N(R100)&lt;'KPI Benchmarks'!$D$9,"Buying intent",IF(N(S100)&lt;'KPI Benchmarks'!$D$10,"Cart",IF(N(T100)&lt;'KPI Benchmarks'!$D$11,"Checkout",IF(X100="","Add economics",IF(N(Y100)&lt;'KPI Benchmarks'!$D$12,"Economics","Healthy – scale")))))))))</f>
        <v/>
      </c>
      <c r="AA100" s="27">
        <f>IF(Z100="","",IF(Z100="Healthy – scale","All stages pass. Add $10–20/day or a new audience; test new creatives beside the main campaign.",IF(Z100="Add economics","Add this client to Client Economics.",IFERROR(INDEX('KPI Benchmarks'!$G$5:$G$12,MATCH(Z100,'KPI Benchmarks'!$A$5:$A$12,0)),""))))</f>
        <v/>
      </c>
      <c r="AB100" s="13" t="n"/>
    </row>
    <row r="101">
      <c r="A101" s="14" t="n"/>
      <c r="B101" s="13" t="n"/>
      <c r="C101" s="34" t="n"/>
      <c r="D101" s="40" t="n"/>
      <c r="E101" s="40" t="n"/>
      <c r="F101" s="40" t="n"/>
      <c r="G101" s="40" t="n"/>
      <c r="H101" s="40" t="n"/>
      <c r="I101" s="40" t="n"/>
      <c r="J101" s="40" t="n"/>
      <c r="K101" s="34" t="n"/>
      <c r="L101" s="36">
        <f>IFERROR(C101/D101*1000,"")</f>
        <v/>
      </c>
      <c r="M101" s="41">
        <f>IFERROR(E101/D101,"")</f>
        <v/>
      </c>
      <c r="N101" s="41">
        <f>IFERROR(F101/D101,"")</f>
        <v/>
      </c>
      <c r="O101" s="42">
        <f>IFERROR(N101/M101,"")</f>
        <v/>
      </c>
      <c r="P101" s="36">
        <f>IFERROR(C101/F101,"")</f>
        <v/>
      </c>
      <c r="Q101" s="42">
        <f>IFERROR(G101/F101,"")</f>
        <v/>
      </c>
      <c r="R101" s="43">
        <f>IFERROR(H101/G101,"")</f>
        <v/>
      </c>
      <c r="S101" s="42">
        <f>IFERROR(I101/H101,"")</f>
        <v/>
      </c>
      <c r="T101" s="42">
        <f>IFERROR(J101/I101,"")</f>
        <v/>
      </c>
      <c r="U101" s="37">
        <f>IFERROR(K101/C101,"")</f>
        <v/>
      </c>
      <c r="V101" s="36">
        <f>IFERROR(C101/J101,"")</f>
        <v/>
      </c>
      <c r="W101" s="36">
        <f>IFERROR(K101/J101,"")</f>
        <v/>
      </c>
      <c r="X101" s="37">
        <f>IFERROR(INDEX('Client Economics'!$J$5:$J$34,MATCH(B101,'Client Economics'!$A$5:$A$34,0)),"")</f>
        <v/>
      </c>
      <c r="Y101" s="37">
        <f>IFERROR(U101/X101,"")</f>
        <v/>
      </c>
      <c r="Z101" s="44">
        <f>IF(D101="","",IF(N(M101)&lt;'KPI Benchmarks'!$D$5,"Attention",IF(N(O101)&lt;'KPI Benchmarks'!$D$6,"Interest",IF(N(Q101)&lt;'KPI Benchmarks'!$D$8,"Page load",IF(N(R101)&lt;'KPI Benchmarks'!$D$9,"Buying intent",IF(N(S101)&lt;'KPI Benchmarks'!$D$10,"Cart",IF(N(T101)&lt;'KPI Benchmarks'!$D$11,"Checkout",IF(X101="","Add economics",IF(N(Y101)&lt;'KPI Benchmarks'!$D$12,"Economics","Healthy – scale")))))))))</f>
        <v/>
      </c>
      <c r="AA101" s="27">
        <f>IF(Z101="","",IF(Z101="Healthy – scale","All stages pass. Add $10–20/day or a new audience; test new creatives beside the main campaign.",IF(Z101="Add economics","Add this client to Client Economics.",IFERROR(INDEX('KPI Benchmarks'!$G$5:$G$12,MATCH(Z101,'KPI Benchmarks'!$A$5:$A$12,0)),""))))</f>
        <v/>
      </c>
      <c r="AB101" s="13" t="n"/>
    </row>
    <row r="102">
      <c r="A102" s="14" t="n"/>
      <c r="B102" s="13" t="n"/>
      <c r="C102" s="34" t="n"/>
      <c r="D102" s="40" t="n"/>
      <c r="E102" s="40" t="n"/>
      <c r="F102" s="40" t="n"/>
      <c r="G102" s="40" t="n"/>
      <c r="H102" s="40" t="n"/>
      <c r="I102" s="40" t="n"/>
      <c r="J102" s="40" t="n"/>
      <c r="K102" s="34" t="n"/>
      <c r="L102" s="36">
        <f>IFERROR(C102/D102*1000,"")</f>
        <v/>
      </c>
      <c r="M102" s="41">
        <f>IFERROR(E102/D102,"")</f>
        <v/>
      </c>
      <c r="N102" s="41">
        <f>IFERROR(F102/D102,"")</f>
        <v/>
      </c>
      <c r="O102" s="42">
        <f>IFERROR(N102/M102,"")</f>
        <v/>
      </c>
      <c r="P102" s="36">
        <f>IFERROR(C102/F102,"")</f>
        <v/>
      </c>
      <c r="Q102" s="42">
        <f>IFERROR(G102/F102,"")</f>
        <v/>
      </c>
      <c r="R102" s="43">
        <f>IFERROR(H102/G102,"")</f>
        <v/>
      </c>
      <c r="S102" s="42">
        <f>IFERROR(I102/H102,"")</f>
        <v/>
      </c>
      <c r="T102" s="42">
        <f>IFERROR(J102/I102,"")</f>
        <v/>
      </c>
      <c r="U102" s="37">
        <f>IFERROR(K102/C102,"")</f>
        <v/>
      </c>
      <c r="V102" s="36">
        <f>IFERROR(C102/J102,"")</f>
        <v/>
      </c>
      <c r="W102" s="36">
        <f>IFERROR(K102/J102,"")</f>
        <v/>
      </c>
      <c r="X102" s="37">
        <f>IFERROR(INDEX('Client Economics'!$J$5:$J$34,MATCH(B102,'Client Economics'!$A$5:$A$34,0)),"")</f>
        <v/>
      </c>
      <c r="Y102" s="37">
        <f>IFERROR(U102/X102,"")</f>
        <v/>
      </c>
      <c r="Z102" s="44">
        <f>IF(D102="","",IF(N(M102)&lt;'KPI Benchmarks'!$D$5,"Attention",IF(N(O102)&lt;'KPI Benchmarks'!$D$6,"Interest",IF(N(Q102)&lt;'KPI Benchmarks'!$D$8,"Page load",IF(N(R102)&lt;'KPI Benchmarks'!$D$9,"Buying intent",IF(N(S102)&lt;'KPI Benchmarks'!$D$10,"Cart",IF(N(T102)&lt;'KPI Benchmarks'!$D$11,"Checkout",IF(X102="","Add economics",IF(N(Y102)&lt;'KPI Benchmarks'!$D$12,"Economics","Healthy – scale")))))))))</f>
        <v/>
      </c>
      <c r="AA102" s="27">
        <f>IF(Z102="","",IF(Z102="Healthy – scale","All stages pass. Add $10–20/day or a new audience; test new creatives beside the main campaign.",IF(Z102="Add economics","Add this client to Client Economics.",IFERROR(INDEX('KPI Benchmarks'!$G$5:$G$12,MATCH(Z102,'KPI Benchmarks'!$A$5:$A$12,0)),""))))</f>
        <v/>
      </c>
      <c r="AB102" s="13" t="n"/>
    </row>
    <row r="103">
      <c r="A103" s="14" t="n"/>
      <c r="B103" s="13" t="n"/>
      <c r="C103" s="34" t="n"/>
      <c r="D103" s="40" t="n"/>
      <c r="E103" s="40" t="n"/>
      <c r="F103" s="40" t="n"/>
      <c r="G103" s="40" t="n"/>
      <c r="H103" s="40" t="n"/>
      <c r="I103" s="40" t="n"/>
      <c r="J103" s="40" t="n"/>
      <c r="K103" s="34" t="n"/>
      <c r="L103" s="36">
        <f>IFERROR(C103/D103*1000,"")</f>
        <v/>
      </c>
      <c r="M103" s="41">
        <f>IFERROR(E103/D103,"")</f>
        <v/>
      </c>
      <c r="N103" s="41">
        <f>IFERROR(F103/D103,"")</f>
        <v/>
      </c>
      <c r="O103" s="42">
        <f>IFERROR(N103/M103,"")</f>
        <v/>
      </c>
      <c r="P103" s="36">
        <f>IFERROR(C103/F103,"")</f>
        <v/>
      </c>
      <c r="Q103" s="42">
        <f>IFERROR(G103/F103,"")</f>
        <v/>
      </c>
      <c r="R103" s="43">
        <f>IFERROR(H103/G103,"")</f>
        <v/>
      </c>
      <c r="S103" s="42">
        <f>IFERROR(I103/H103,"")</f>
        <v/>
      </c>
      <c r="T103" s="42">
        <f>IFERROR(J103/I103,"")</f>
        <v/>
      </c>
      <c r="U103" s="37">
        <f>IFERROR(K103/C103,"")</f>
        <v/>
      </c>
      <c r="V103" s="36">
        <f>IFERROR(C103/J103,"")</f>
        <v/>
      </c>
      <c r="W103" s="36">
        <f>IFERROR(K103/J103,"")</f>
        <v/>
      </c>
      <c r="X103" s="37">
        <f>IFERROR(INDEX('Client Economics'!$J$5:$J$34,MATCH(B103,'Client Economics'!$A$5:$A$34,0)),"")</f>
        <v/>
      </c>
      <c r="Y103" s="37">
        <f>IFERROR(U103/X103,"")</f>
        <v/>
      </c>
      <c r="Z103" s="44">
        <f>IF(D103="","",IF(N(M103)&lt;'KPI Benchmarks'!$D$5,"Attention",IF(N(O103)&lt;'KPI Benchmarks'!$D$6,"Interest",IF(N(Q103)&lt;'KPI Benchmarks'!$D$8,"Page load",IF(N(R103)&lt;'KPI Benchmarks'!$D$9,"Buying intent",IF(N(S103)&lt;'KPI Benchmarks'!$D$10,"Cart",IF(N(T103)&lt;'KPI Benchmarks'!$D$11,"Checkout",IF(X103="","Add economics",IF(N(Y103)&lt;'KPI Benchmarks'!$D$12,"Economics","Healthy – scale")))))))))</f>
        <v/>
      </c>
      <c r="AA103" s="27">
        <f>IF(Z103="","",IF(Z103="Healthy – scale","All stages pass. Add $10–20/day or a new audience; test new creatives beside the main campaign.",IF(Z103="Add economics","Add this client to Client Economics.",IFERROR(INDEX('KPI Benchmarks'!$G$5:$G$12,MATCH(Z103,'KPI Benchmarks'!$A$5:$A$12,0)),""))))</f>
        <v/>
      </c>
      <c r="AB103" s="13" t="n"/>
    </row>
    <row r="104">
      <c r="A104" s="14" t="n"/>
      <c r="B104" s="13" t="n"/>
      <c r="C104" s="34" t="n"/>
      <c r="D104" s="40" t="n"/>
      <c r="E104" s="40" t="n"/>
      <c r="F104" s="40" t="n"/>
      <c r="G104" s="40" t="n"/>
      <c r="H104" s="40" t="n"/>
      <c r="I104" s="40" t="n"/>
      <c r="J104" s="40" t="n"/>
      <c r="K104" s="34" t="n"/>
      <c r="L104" s="36">
        <f>IFERROR(C104/D104*1000,"")</f>
        <v/>
      </c>
      <c r="M104" s="41">
        <f>IFERROR(E104/D104,"")</f>
        <v/>
      </c>
      <c r="N104" s="41">
        <f>IFERROR(F104/D104,"")</f>
        <v/>
      </c>
      <c r="O104" s="42">
        <f>IFERROR(N104/M104,"")</f>
        <v/>
      </c>
      <c r="P104" s="36">
        <f>IFERROR(C104/F104,"")</f>
        <v/>
      </c>
      <c r="Q104" s="42">
        <f>IFERROR(G104/F104,"")</f>
        <v/>
      </c>
      <c r="R104" s="43">
        <f>IFERROR(H104/G104,"")</f>
        <v/>
      </c>
      <c r="S104" s="42">
        <f>IFERROR(I104/H104,"")</f>
        <v/>
      </c>
      <c r="T104" s="42">
        <f>IFERROR(J104/I104,"")</f>
        <v/>
      </c>
      <c r="U104" s="37">
        <f>IFERROR(K104/C104,"")</f>
        <v/>
      </c>
      <c r="V104" s="36">
        <f>IFERROR(C104/J104,"")</f>
        <v/>
      </c>
      <c r="W104" s="36">
        <f>IFERROR(K104/J104,"")</f>
        <v/>
      </c>
      <c r="X104" s="37">
        <f>IFERROR(INDEX('Client Economics'!$J$5:$J$34,MATCH(B104,'Client Economics'!$A$5:$A$34,0)),"")</f>
        <v/>
      </c>
      <c r="Y104" s="37">
        <f>IFERROR(U104/X104,"")</f>
        <v/>
      </c>
      <c r="Z104" s="44">
        <f>IF(D104="","",IF(N(M104)&lt;'KPI Benchmarks'!$D$5,"Attention",IF(N(O104)&lt;'KPI Benchmarks'!$D$6,"Interest",IF(N(Q104)&lt;'KPI Benchmarks'!$D$8,"Page load",IF(N(R104)&lt;'KPI Benchmarks'!$D$9,"Buying intent",IF(N(S104)&lt;'KPI Benchmarks'!$D$10,"Cart",IF(N(T104)&lt;'KPI Benchmarks'!$D$11,"Checkout",IF(X104="","Add economics",IF(N(Y104)&lt;'KPI Benchmarks'!$D$12,"Economics","Healthy – scale")))))))))</f>
        <v/>
      </c>
      <c r="AA104" s="27">
        <f>IF(Z104="","",IF(Z104="Healthy – scale","All stages pass. Add $10–20/day or a new audience; test new creatives beside the main campaign.",IF(Z104="Add economics","Add this client to Client Economics.",IFERROR(INDEX('KPI Benchmarks'!$G$5:$G$12,MATCH(Z104,'KPI Benchmarks'!$A$5:$A$12,0)),""))))</f>
        <v/>
      </c>
      <c r="AB104" s="13" t="n"/>
    </row>
    <row r="105">
      <c r="A105" s="14" t="n"/>
      <c r="B105" s="13" t="n"/>
      <c r="C105" s="34" t="n"/>
      <c r="D105" s="40" t="n"/>
      <c r="E105" s="40" t="n"/>
      <c r="F105" s="40" t="n"/>
      <c r="G105" s="40" t="n"/>
      <c r="H105" s="40" t="n"/>
      <c r="I105" s="40" t="n"/>
      <c r="J105" s="40" t="n"/>
      <c r="K105" s="34" t="n"/>
      <c r="L105" s="36">
        <f>IFERROR(C105/D105*1000,"")</f>
        <v/>
      </c>
      <c r="M105" s="41">
        <f>IFERROR(E105/D105,"")</f>
        <v/>
      </c>
      <c r="N105" s="41">
        <f>IFERROR(F105/D105,"")</f>
        <v/>
      </c>
      <c r="O105" s="42">
        <f>IFERROR(N105/M105,"")</f>
        <v/>
      </c>
      <c r="P105" s="36">
        <f>IFERROR(C105/F105,"")</f>
        <v/>
      </c>
      <c r="Q105" s="42">
        <f>IFERROR(G105/F105,"")</f>
        <v/>
      </c>
      <c r="R105" s="43">
        <f>IFERROR(H105/G105,"")</f>
        <v/>
      </c>
      <c r="S105" s="42">
        <f>IFERROR(I105/H105,"")</f>
        <v/>
      </c>
      <c r="T105" s="42">
        <f>IFERROR(J105/I105,"")</f>
        <v/>
      </c>
      <c r="U105" s="37">
        <f>IFERROR(K105/C105,"")</f>
        <v/>
      </c>
      <c r="V105" s="36">
        <f>IFERROR(C105/J105,"")</f>
        <v/>
      </c>
      <c r="W105" s="36">
        <f>IFERROR(K105/J105,"")</f>
        <v/>
      </c>
      <c r="X105" s="37">
        <f>IFERROR(INDEX('Client Economics'!$J$5:$J$34,MATCH(B105,'Client Economics'!$A$5:$A$34,0)),"")</f>
        <v/>
      </c>
      <c r="Y105" s="37">
        <f>IFERROR(U105/X105,"")</f>
        <v/>
      </c>
      <c r="Z105" s="44">
        <f>IF(D105="","",IF(N(M105)&lt;'KPI Benchmarks'!$D$5,"Attention",IF(N(O105)&lt;'KPI Benchmarks'!$D$6,"Interest",IF(N(Q105)&lt;'KPI Benchmarks'!$D$8,"Page load",IF(N(R105)&lt;'KPI Benchmarks'!$D$9,"Buying intent",IF(N(S105)&lt;'KPI Benchmarks'!$D$10,"Cart",IF(N(T105)&lt;'KPI Benchmarks'!$D$11,"Checkout",IF(X105="","Add economics",IF(N(Y105)&lt;'KPI Benchmarks'!$D$12,"Economics","Healthy – scale")))))))))</f>
        <v/>
      </c>
      <c r="AA105" s="27">
        <f>IF(Z105="","",IF(Z105="Healthy – scale","All stages pass. Add $10–20/day or a new audience; test new creatives beside the main campaign.",IF(Z105="Add economics","Add this client to Client Economics.",IFERROR(INDEX('KPI Benchmarks'!$G$5:$G$12,MATCH(Z105,'KPI Benchmarks'!$A$5:$A$12,0)),""))))</f>
        <v/>
      </c>
      <c r="AB105" s="13" t="n"/>
    </row>
    <row r="106">
      <c r="A106" s="14" t="n"/>
      <c r="B106" s="13" t="n"/>
      <c r="C106" s="34" t="n"/>
      <c r="D106" s="40" t="n"/>
      <c r="E106" s="40" t="n"/>
      <c r="F106" s="40" t="n"/>
      <c r="G106" s="40" t="n"/>
      <c r="H106" s="40" t="n"/>
      <c r="I106" s="40" t="n"/>
      <c r="J106" s="40" t="n"/>
      <c r="K106" s="34" t="n"/>
      <c r="L106" s="36">
        <f>IFERROR(C106/D106*1000,"")</f>
        <v/>
      </c>
      <c r="M106" s="41">
        <f>IFERROR(E106/D106,"")</f>
        <v/>
      </c>
      <c r="N106" s="41">
        <f>IFERROR(F106/D106,"")</f>
        <v/>
      </c>
      <c r="O106" s="42">
        <f>IFERROR(N106/M106,"")</f>
        <v/>
      </c>
      <c r="P106" s="36">
        <f>IFERROR(C106/F106,"")</f>
        <v/>
      </c>
      <c r="Q106" s="42">
        <f>IFERROR(G106/F106,"")</f>
        <v/>
      </c>
      <c r="R106" s="43">
        <f>IFERROR(H106/G106,"")</f>
        <v/>
      </c>
      <c r="S106" s="42">
        <f>IFERROR(I106/H106,"")</f>
        <v/>
      </c>
      <c r="T106" s="42">
        <f>IFERROR(J106/I106,"")</f>
        <v/>
      </c>
      <c r="U106" s="37">
        <f>IFERROR(K106/C106,"")</f>
        <v/>
      </c>
      <c r="V106" s="36">
        <f>IFERROR(C106/J106,"")</f>
        <v/>
      </c>
      <c r="W106" s="36">
        <f>IFERROR(K106/J106,"")</f>
        <v/>
      </c>
      <c r="X106" s="37">
        <f>IFERROR(INDEX('Client Economics'!$J$5:$J$34,MATCH(B106,'Client Economics'!$A$5:$A$34,0)),"")</f>
        <v/>
      </c>
      <c r="Y106" s="37">
        <f>IFERROR(U106/X106,"")</f>
        <v/>
      </c>
      <c r="Z106" s="44">
        <f>IF(D106="","",IF(N(M106)&lt;'KPI Benchmarks'!$D$5,"Attention",IF(N(O106)&lt;'KPI Benchmarks'!$D$6,"Interest",IF(N(Q106)&lt;'KPI Benchmarks'!$D$8,"Page load",IF(N(R106)&lt;'KPI Benchmarks'!$D$9,"Buying intent",IF(N(S106)&lt;'KPI Benchmarks'!$D$10,"Cart",IF(N(T106)&lt;'KPI Benchmarks'!$D$11,"Checkout",IF(X106="","Add economics",IF(N(Y106)&lt;'KPI Benchmarks'!$D$12,"Economics","Healthy – scale")))))))))</f>
        <v/>
      </c>
      <c r="AA106" s="27">
        <f>IF(Z106="","",IF(Z106="Healthy – scale","All stages pass. Add $10–20/day or a new audience; test new creatives beside the main campaign.",IF(Z106="Add economics","Add this client to Client Economics.",IFERROR(INDEX('KPI Benchmarks'!$G$5:$G$12,MATCH(Z106,'KPI Benchmarks'!$A$5:$A$12,0)),""))))</f>
        <v/>
      </c>
      <c r="AB106" s="13" t="n"/>
    </row>
    <row r="107">
      <c r="A107" s="14" t="n"/>
      <c r="B107" s="13" t="n"/>
      <c r="C107" s="34" t="n"/>
      <c r="D107" s="40" t="n"/>
      <c r="E107" s="40" t="n"/>
      <c r="F107" s="40" t="n"/>
      <c r="G107" s="40" t="n"/>
      <c r="H107" s="40" t="n"/>
      <c r="I107" s="40" t="n"/>
      <c r="J107" s="40" t="n"/>
      <c r="K107" s="34" t="n"/>
      <c r="L107" s="36">
        <f>IFERROR(C107/D107*1000,"")</f>
        <v/>
      </c>
      <c r="M107" s="41">
        <f>IFERROR(E107/D107,"")</f>
        <v/>
      </c>
      <c r="N107" s="41">
        <f>IFERROR(F107/D107,"")</f>
        <v/>
      </c>
      <c r="O107" s="42">
        <f>IFERROR(N107/M107,"")</f>
        <v/>
      </c>
      <c r="P107" s="36">
        <f>IFERROR(C107/F107,"")</f>
        <v/>
      </c>
      <c r="Q107" s="42">
        <f>IFERROR(G107/F107,"")</f>
        <v/>
      </c>
      <c r="R107" s="43">
        <f>IFERROR(H107/G107,"")</f>
        <v/>
      </c>
      <c r="S107" s="42">
        <f>IFERROR(I107/H107,"")</f>
        <v/>
      </c>
      <c r="T107" s="42">
        <f>IFERROR(J107/I107,"")</f>
        <v/>
      </c>
      <c r="U107" s="37">
        <f>IFERROR(K107/C107,"")</f>
        <v/>
      </c>
      <c r="V107" s="36">
        <f>IFERROR(C107/J107,"")</f>
        <v/>
      </c>
      <c r="W107" s="36">
        <f>IFERROR(K107/J107,"")</f>
        <v/>
      </c>
      <c r="X107" s="37">
        <f>IFERROR(INDEX('Client Economics'!$J$5:$J$34,MATCH(B107,'Client Economics'!$A$5:$A$34,0)),"")</f>
        <v/>
      </c>
      <c r="Y107" s="37">
        <f>IFERROR(U107/X107,"")</f>
        <v/>
      </c>
      <c r="Z107" s="44">
        <f>IF(D107="","",IF(N(M107)&lt;'KPI Benchmarks'!$D$5,"Attention",IF(N(O107)&lt;'KPI Benchmarks'!$D$6,"Interest",IF(N(Q107)&lt;'KPI Benchmarks'!$D$8,"Page load",IF(N(R107)&lt;'KPI Benchmarks'!$D$9,"Buying intent",IF(N(S107)&lt;'KPI Benchmarks'!$D$10,"Cart",IF(N(T107)&lt;'KPI Benchmarks'!$D$11,"Checkout",IF(X107="","Add economics",IF(N(Y107)&lt;'KPI Benchmarks'!$D$12,"Economics","Healthy – scale")))))))))</f>
        <v/>
      </c>
      <c r="AA107" s="27">
        <f>IF(Z107="","",IF(Z107="Healthy – scale","All stages pass. Add $10–20/day or a new audience; test new creatives beside the main campaign.",IF(Z107="Add economics","Add this client to Client Economics.",IFERROR(INDEX('KPI Benchmarks'!$G$5:$G$12,MATCH(Z107,'KPI Benchmarks'!$A$5:$A$12,0)),""))))</f>
        <v/>
      </c>
      <c r="AB107" s="13" t="n"/>
    </row>
    <row r="108">
      <c r="A108" s="14" t="n"/>
      <c r="B108" s="13" t="n"/>
      <c r="C108" s="34" t="n"/>
      <c r="D108" s="40" t="n"/>
      <c r="E108" s="40" t="n"/>
      <c r="F108" s="40" t="n"/>
      <c r="G108" s="40" t="n"/>
      <c r="H108" s="40" t="n"/>
      <c r="I108" s="40" t="n"/>
      <c r="J108" s="40" t="n"/>
      <c r="K108" s="34" t="n"/>
      <c r="L108" s="36">
        <f>IFERROR(C108/D108*1000,"")</f>
        <v/>
      </c>
      <c r="M108" s="41">
        <f>IFERROR(E108/D108,"")</f>
        <v/>
      </c>
      <c r="N108" s="41">
        <f>IFERROR(F108/D108,"")</f>
        <v/>
      </c>
      <c r="O108" s="42">
        <f>IFERROR(N108/M108,"")</f>
        <v/>
      </c>
      <c r="P108" s="36">
        <f>IFERROR(C108/F108,"")</f>
        <v/>
      </c>
      <c r="Q108" s="42">
        <f>IFERROR(G108/F108,"")</f>
        <v/>
      </c>
      <c r="R108" s="43">
        <f>IFERROR(H108/G108,"")</f>
        <v/>
      </c>
      <c r="S108" s="42">
        <f>IFERROR(I108/H108,"")</f>
        <v/>
      </c>
      <c r="T108" s="42">
        <f>IFERROR(J108/I108,"")</f>
        <v/>
      </c>
      <c r="U108" s="37">
        <f>IFERROR(K108/C108,"")</f>
        <v/>
      </c>
      <c r="V108" s="36">
        <f>IFERROR(C108/J108,"")</f>
        <v/>
      </c>
      <c r="W108" s="36">
        <f>IFERROR(K108/J108,"")</f>
        <v/>
      </c>
      <c r="X108" s="37">
        <f>IFERROR(INDEX('Client Economics'!$J$5:$J$34,MATCH(B108,'Client Economics'!$A$5:$A$34,0)),"")</f>
        <v/>
      </c>
      <c r="Y108" s="37">
        <f>IFERROR(U108/X108,"")</f>
        <v/>
      </c>
      <c r="Z108" s="44">
        <f>IF(D108="","",IF(N(M108)&lt;'KPI Benchmarks'!$D$5,"Attention",IF(N(O108)&lt;'KPI Benchmarks'!$D$6,"Interest",IF(N(Q108)&lt;'KPI Benchmarks'!$D$8,"Page load",IF(N(R108)&lt;'KPI Benchmarks'!$D$9,"Buying intent",IF(N(S108)&lt;'KPI Benchmarks'!$D$10,"Cart",IF(N(T108)&lt;'KPI Benchmarks'!$D$11,"Checkout",IF(X108="","Add economics",IF(N(Y108)&lt;'KPI Benchmarks'!$D$12,"Economics","Healthy – scale")))))))))</f>
        <v/>
      </c>
      <c r="AA108" s="27">
        <f>IF(Z108="","",IF(Z108="Healthy – scale","All stages pass. Add $10–20/day or a new audience; test new creatives beside the main campaign.",IF(Z108="Add economics","Add this client to Client Economics.",IFERROR(INDEX('KPI Benchmarks'!$G$5:$G$12,MATCH(Z108,'KPI Benchmarks'!$A$5:$A$12,0)),""))))</f>
        <v/>
      </c>
      <c r="AB108" s="13" t="n"/>
    </row>
    <row r="109">
      <c r="A109" s="14" t="n"/>
      <c r="B109" s="13" t="n"/>
      <c r="C109" s="34" t="n"/>
      <c r="D109" s="40" t="n"/>
      <c r="E109" s="40" t="n"/>
      <c r="F109" s="40" t="n"/>
      <c r="G109" s="40" t="n"/>
      <c r="H109" s="40" t="n"/>
      <c r="I109" s="40" t="n"/>
      <c r="J109" s="40" t="n"/>
      <c r="K109" s="34" t="n"/>
      <c r="L109" s="36">
        <f>IFERROR(C109/D109*1000,"")</f>
        <v/>
      </c>
      <c r="M109" s="41">
        <f>IFERROR(E109/D109,"")</f>
        <v/>
      </c>
      <c r="N109" s="41">
        <f>IFERROR(F109/D109,"")</f>
        <v/>
      </c>
      <c r="O109" s="42">
        <f>IFERROR(N109/M109,"")</f>
        <v/>
      </c>
      <c r="P109" s="36">
        <f>IFERROR(C109/F109,"")</f>
        <v/>
      </c>
      <c r="Q109" s="42">
        <f>IFERROR(G109/F109,"")</f>
        <v/>
      </c>
      <c r="R109" s="43">
        <f>IFERROR(H109/G109,"")</f>
        <v/>
      </c>
      <c r="S109" s="42">
        <f>IFERROR(I109/H109,"")</f>
        <v/>
      </c>
      <c r="T109" s="42">
        <f>IFERROR(J109/I109,"")</f>
        <v/>
      </c>
      <c r="U109" s="37">
        <f>IFERROR(K109/C109,"")</f>
        <v/>
      </c>
      <c r="V109" s="36">
        <f>IFERROR(C109/J109,"")</f>
        <v/>
      </c>
      <c r="W109" s="36">
        <f>IFERROR(K109/J109,"")</f>
        <v/>
      </c>
      <c r="X109" s="37">
        <f>IFERROR(INDEX('Client Economics'!$J$5:$J$34,MATCH(B109,'Client Economics'!$A$5:$A$34,0)),"")</f>
        <v/>
      </c>
      <c r="Y109" s="37">
        <f>IFERROR(U109/X109,"")</f>
        <v/>
      </c>
      <c r="Z109" s="44">
        <f>IF(D109="","",IF(N(M109)&lt;'KPI Benchmarks'!$D$5,"Attention",IF(N(O109)&lt;'KPI Benchmarks'!$D$6,"Interest",IF(N(Q109)&lt;'KPI Benchmarks'!$D$8,"Page load",IF(N(R109)&lt;'KPI Benchmarks'!$D$9,"Buying intent",IF(N(S109)&lt;'KPI Benchmarks'!$D$10,"Cart",IF(N(T109)&lt;'KPI Benchmarks'!$D$11,"Checkout",IF(X109="","Add economics",IF(N(Y109)&lt;'KPI Benchmarks'!$D$12,"Economics","Healthy – scale")))))))))</f>
        <v/>
      </c>
      <c r="AA109" s="27">
        <f>IF(Z109="","",IF(Z109="Healthy – scale","All stages pass. Add $10–20/day or a new audience; test new creatives beside the main campaign.",IF(Z109="Add economics","Add this client to Client Economics.",IFERROR(INDEX('KPI Benchmarks'!$G$5:$G$12,MATCH(Z109,'KPI Benchmarks'!$A$5:$A$12,0)),""))))</f>
        <v/>
      </c>
      <c r="AB109" s="13" t="n"/>
    </row>
    <row r="110">
      <c r="A110" s="14" t="n"/>
      <c r="B110" s="13" t="n"/>
      <c r="C110" s="34" t="n"/>
      <c r="D110" s="40" t="n"/>
      <c r="E110" s="40" t="n"/>
      <c r="F110" s="40" t="n"/>
      <c r="G110" s="40" t="n"/>
      <c r="H110" s="40" t="n"/>
      <c r="I110" s="40" t="n"/>
      <c r="J110" s="40" t="n"/>
      <c r="K110" s="34" t="n"/>
      <c r="L110" s="36">
        <f>IFERROR(C110/D110*1000,"")</f>
        <v/>
      </c>
      <c r="M110" s="41">
        <f>IFERROR(E110/D110,"")</f>
        <v/>
      </c>
      <c r="N110" s="41">
        <f>IFERROR(F110/D110,"")</f>
        <v/>
      </c>
      <c r="O110" s="42">
        <f>IFERROR(N110/M110,"")</f>
        <v/>
      </c>
      <c r="P110" s="36">
        <f>IFERROR(C110/F110,"")</f>
        <v/>
      </c>
      <c r="Q110" s="42">
        <f>IFERROR(G110/F110,"")</f>
        <v/>
      </c>
      <c r="R110" s="43">
        <f>IFERROR(H110/G110,"")</f>
        <v/>
      </c>
      <c r="S110" s="42">
        <f>IFERROR(I110/H110,"")</f>
        <v/>
      </c>
      <c r="T110" s="42">
        <f>IFERROR(J110/I110,"")</f>
        <v/>
      </c>
      <c r="U110" s="37">
        <f>IFERROR(K110/C110,"")</f>
        <v/>
      </c>
      <c r="V110" s="36">
        <f>IFERROR(C110/J110,"")</f>
        <v/>
      </c>
      <c r="W110" s="36">
        <f>IFERROR(K110/J110,"")</f>
        <v/>
      </c>
      <c r="X110" s="37">
        <f>IFERROR(INDEX('Client Economics'!$J$5:$J$34,MATCH(B110,'Client Economics'!$A$5:$A$34,0)),"")</f>
        <v/>
      </c>
      <c r="Y110" s="37">
        <f>IFERROR(U110/X110,"")</f>
        <v/>
      </c>
      <c r="Z110" s="44">
        <f>IF(D110="","",IF(N(M110)&lt;'KPI Benchmarks'!$D$5,"Attention",IF(N(O110)&lt;'KPI Benchmarks'!$D$6,"Interest",IF(N(Q110)&lt;'KPI Benchmarks'!$D$8,"Page load",IF(N(R110)&lt;'KPI Benchmarks'!$D$9,"Buying intent",IF(N(S110)&lt;'KPI Benchmarks'!$D$10,"Cart",IF(N(T110)&lt;'KPI Benchmarks'!$D$11,"Checkout",IF(X110="","Add economics",IF(N(Y110)&lt;'KPI Benchmarks'!$D$12,"Economics","Healthy – scale")))))))))</f>
        <v/>
      </c>
      <c r="AA110" s="27">
        <f>IF(Z110="","",IF(Z110="Healthy – scale","All stages pass. Add $10–20/day or a new audience; test new creatives beside the main campaign.",IF(Z110="Add economics","Add this client to Client Economics.",IFERROR(INDEX('KPI Benchmarks'!$G$5:$G$12,MATCH(Z110,'KPI Benchmarks'!$A$5:$A$12,0)),""))))</f>
        <v/>
      </c>
      <c r="AB110" s="13" t="n"/>
    </row>
    <row r="111">
      <c r="A111" s="14" t="n"/>
      <c r="B111" s="13" t="n"/>
      <c r="C111" s="34" t="n"/>
      <c r="D111" s="40" t="n"/>
      <c r="E111" s="40" t="n"/>
      <c r="F111" s="40" t="n"/>
      <c r="G111" s="40" t="n"/>
      <c r="H111" s="40" t="n"/>
      <c r="I111" s="40" t="n"/>
      <c r="J111" s="40" t="n"/>
      <c r="K111" s="34" t="n"/>
      <c r="L111" s="36">
        <f>IFERROR(C111/D111*1000,"")</f>
        <v/>
      </c>
      <c r="M111" s="41">
        <f>IFERROR(E111/D111,"")</f>
        <v/>
      </c>
      <c r="N111" s="41">
        <f>IFERROR(F111/D111,"")</f>
        <v/>
      </c>
      <c r="O111" s="42">
        <f>IFERROR(N111/M111,"")</f>
        <v/>
      </c>
      <c r="P111" s="36">
        <f>IFERROR(C111/F111,"")</f>
        <v/>
      </c>
      <c r="Q111" s="42">
        <f>IFERROR(G111/F111,"")</f>
        <v/>
      </c>
      <c r="R111" s="43">
        <f>IFERROR(H111/G111,"")</f>
        <v/>
      </c>
      <c r="S111" s="42">
        <f>IFERROR(I111/H111,"")</f>
        <v/>
      </c>
      <c r="T111" s="42">
        <f>IFERROR(J111/I111,"")</f>
        <v/>
      </c>
      <c r="U111" s="37">
        <f>IFERROR(K111/C111,"")</f>
        <v/>
      </c>
      <c r="V111" s="36">
        <f>IFERROR(C111/J111,"")</f>
        <v/>
      </c>
      <c r="W111" s="36">
        <f>IFERROR(K111/J111,"")</f>
        <v/>
      </c>
      <c r="X111" s="37">
        <f>IFERROR(INDEX('Client Economics'!$J$5:$J$34,MATCH(B111,'Client Economics'!$A$5:$A$34,0)),"")</f>
        <v/>
      </c>
      <c r="Y111" s="37">
        <f>IFERROR(U111/X111,"")</f>
        <v/>
      </c>
      <c r="Z111" s="44">
        <f>IF(D111="","",IF(N(M111)&lt;'KPI Benchmarks'!$D$5,"Attention",IF(N(O111)&lt;'KPI Benchmarks'!$D$6,"Interest",IF(N(Q111)&lt;'KPI Benchmarks'!$D$8,"Page load",IF(N(R111)&lt;'KPI Benchmarks'!$D$9,"Buying intent",IF(N(S111)&lt;'KPI Benchmarks'!$D$10,"Cart",IF(N(T111)&lt;'KPI Benchmarks'!$D$11,"Checkout",IF(X111="","Add economics",IF(N(Y111)&lt;'KPI Benchmarks'!$D$12,"Economics","Healthy – scale")))))))))</f>
        <v/>
      </c>
      <c r="AA111" s="27">
        <f>IF(Z111="","",IF(Z111="Healthy – scale","All stages pass. Add $10–20/day or a new audience; test new creatives beside the main campaign.",IF(Z111="Add economics","Add this client to Client Economics.",IFERROR(INDEX('KPI Benchmarks'!$G$5:$G$12,MATCH(Z111,'KPI Benchmarks'!$A$5:$A$12,0)),""))))</f>
        <v/>
      </c>
      <c r="AB111" s="13" t="n"/>
    </row>
    <row r="112">
      <c r="A112" s="14" t="n"/>
      <c r="B112" s="13" t="n"/>
      <c r="C112" s="34" t="n"/>
      <c r="D112" s="40" t="n"/>
      <c r="E112" s="40" t="n"/>
      <c r="F112" s="40" t="n"/>
      <c r="G112" s="40" t="n"/>
      <c r="H112" s="40" t="n"/>
      <c r="I112" s="40" t="n"/>
      <c r="J112" s="40" t="n"/>
      <c r="K112" s="34" t="n"/>
      <c r="L112" s="36">
        <f>IFERROR(C112/D112*1000,"")</f>
        <v/>
      </c>
      <c r="M112" s="41">
        <f>IFERROR(E112/D112,"")</f>
        <v/>
      </c>
      <c r="N112" s="41">
        <f>IFERROR(F112/D112,"")</f>
        <v/>
      </c>
      <c r="O112" s="42">
        <f>IFERROR(N112/M112,"")</f>
        <v/>
      </c>
      <c r="P112" s="36">
        <f>IFERROR(C112/F112,"")</f>
        <v/>
      </c>
      <c r="Q112" s="42">
        <f>IFERROR(G112/F112,"")</f>
        <v/>
      </c>
      <c r="R112" s="43">
        <f>IFERROR(H112/G112,"")</f>
        <v/>
      </c>
      <c r="S112" s="42">
        <f>IFERROR(I112/H112,"")</f>
        <v/>
      </c>
      <c r="T112" s="42">
        <f>IFERROR(J112/I112,"")</f>
        <v/>
      </c>
      <c r="U112" s="37">
        <f>IFERROR(K112/C112,"")</f>
        <v/>
      </c>
      <c r="V112" s="36">
        <f>IFERROR(C112/J112,"")</f>
        <v/>
      </c>
      <c r="W112" s="36">
        <f>IFERROR(K112/J112,"")</f>
        <v/>
      </c>
      <c r="X112" s="37">
        <f>IFERROR(INDEX('Client Economics'!$J$5:$J$34,MATCH(B112,'Client Economics'!$A$5:$A$34,0)),"")</f>
        <v/>
      </c>
      <c r="Y112" s="37">
        <f>IFERROR(U112/X112,"")</f>
        <v/>
      </c>
      <c r="Z112" s="44">
        <f>IF(D112="","",IF(N(M112)&lt;'KPI Benchmarks'!$D$5,"Attention",IF(N(O112)&lt;'KPI Benchmarks'!$D$6,"Interest",IF(N(Q112)&lt;'KPI Benchmarks'!$D$8,"Page load",IF(N(R112)&lt;'KPI Benchmarks'!$D$9,"Buying intent",IF(N(S112)&lt;'KPI Benchmarks'!$D$10,"Cart",IF(N(T112)&lt;'KPI Benchmarks'!$D$11,"Checkout",IF(X112="","Add economics",IF(N(Y112)&lt;'KPI Benchmarks'!$D$12,"Economics","Healthy – scale")))))))))</f>
        <v/>
      </c>
      <c r="AA112" s="27">
        <f>IF(Z112="","",IF(Z112="Healthy – scale","All stages pass. Add $10–20/day or a new audience; test new creatives beside the main campaign.",IF(Z112="Add economics","Add this client to Client Economics.",IFERROR(INDEX('KPI Benchmarks'!$G$5:$G$12,MATCH(Z112,'KPI Benchmarks'!$A$5:$A$12,0)),""))))</f>
        <v/>
      </c>
      <c r="AB112" s="13" t="n"/>
    </row>
    <row r="113">
      <c r="A113" s="14" t="n"/>
      <c r="B113" s="13" t="n"/>
      <c r="C113" s="34" t="n"/>
      <c r="D113" s="40" t="n"/>
      <c r="E113" s="40" t="n"/>
      <c r="F113" s="40" t="n"/>
      <c r="G113" s="40" t="n"/>
      <c r="H113" s="40" t="n"/>
      <c r="I113" s="40" t="n"/>
      <c r="J113" s="40" t="n"/>
      <c r="K113" s="34" t="n"/>
      <c r="L113" s="36">
        <f>IFERROR(C113/D113*1000,"")</f>
        <v/>
      </c>
      <c r="M113" s="41">
        <f>IFERROR(E113/D113,"")</f>
        <v/>
      </c>
      <c r="N113" s="41">
        <f>IFERROR(F113/D113,"")</f>
        <v/>
      </c>
      <c r="O113" s="42">
        <f>IFERROR(N113/M113,"")</f>
        <v/>
      </c>
      <c r="P113" s="36">
        <f>IFERROR(C113/F113,"")</f>
        <v/>
      </c>
      <c r="Q113" s="42">
        <f>IFERROR(G113/F113,"")</f>
        <v/>
      </c>
      <c r="R113" s="43">
        <f>IFERROR(H113/G113,"")</f>
        <v/>
      </c>
      <c r="S113" s="42">
        <f>IFERROR(I113/H113,"")</f>
        <v/>
      </c>
      <c r="T113" s="42">
        <f>IFERROR(J113/I113,"")</f>
        <v/>
      </c>
      <c r="U113" s="37">
        <f>IFERROR(K113/C113,"")</f>
        <v/>
      </c>
      <c r="V113" s="36">
        <f>IFERROR(C113/J113,"")</f>
        <v/>
      </c>
      <c r="W113" s="36">
        <f>IFERROR(K113/J113,"")</f>
        <v/>
      </c>
      <c r="X113" s="37">
        <f>IFERROR(INDEX('Client Economics'!$J$5:$J$34,MATCH(B113,'Client Economics'!$A$5:$A$34,0)),"")</f>
        <v/>
      </c>
      <c r="Y113" s="37">
        <f>IFERROR(U113/X113,"")</f>
        <v/>
      </c>
      <c r="Z113" s="44">
        <f>IF(D113="","",IF(N(M113)&lt;'KPI Benchmarks'!$D$5,"Attention",IF(N(O113)&lt;'KPI Benchmarks'!$D$6,"Interest",IF(N(Q113)&lt;'KPI Benchmarks'!$D$8,"Page load",IF(N(R113)&lt;'KPI Benchmarks'!$D$9,"Buying intent",IF(N(S113)&lt;'KPI Benchmarks'!$D$10,"Cart",IF(N(T113)&lt;'KPI Benchmarks'!$D$11,"Checkout",IF(X113="","Add economics",IF(N(Y113)&lt;'KPI Benchmarks'!$D$12,"Economics","Healthy – scale")))))))))</f>
        <v/>
      </c>
      <c r="AA113" s="27">
        <f>IF(Z113="","",IF(Z113="Healthy – scale","All stages pass. Add $10–20/day or a new audience; test new creatives beside the main campaign.",IF(Z113="Add economics","Add this client to Client Economics.",IFERROR(INDEX('KPI Benchmarks'!$G$5:$G$12,MATCH(Z113,'KPI Benchmarks'!$A$5:$A$12,0)),""))))</f>
        <v/>
      </c>
      <c r="AB113" s="13" t="n"/>
    </row>
    <row r="114">
      <c r="A114" s="14" t="n"/>
      <c r="B114" s="13" t="n"/>
      <c r="C114" s="34" t="n"/>
      <c r="D114" s="40" t="n"/>
      <c r="E114" s="40" t="n"/>
      <c r="F114" s="40" t="n"/>
      <c r="G114" s="40" t="n"/>
      <c r="H114" s="40" t="n"/>
      <c r="I114" s="40" t="n"/>
      <c r="J114" s="40" t="n"/>
      <c r="K114" s="34" t="n"/>
      <c r="L114" s="36">
        <f>IFERROR(C114/D114*1000,"")</f>
        <v/>
      </c>
      <c r="M114" s="41">
        <f>IFERROR(E114/D114,"")</f>
        <v/>
      </c>
      <c r="N114" s="41">
        <f>IFERROR(F114/D114,"")</f>
        <v/>
      </c>
      <c r="O114" s="42">
        <f>IFERROR(N114/M114,"")</f>
        <v/>
      </c>
      <c r="P114" s="36">
        <f>IFERROR(C114/F114,"")</f>
        <v/>
      </c>
      <c r="Q114" s="42">
        <f>IFERROR(G114/F114,"")</f>
        <v/>
      </c>
      <c r="R114" s="43">
        <f>IFERROR(H114/G114,"")</f>
        <v/>
      </c>
      <c r="S114" s="42">
        <f>IFERROR(I114/H114,"")</f>
        <v/>
      </c>
      <c r="T114" s="42">
        <f>IFERROR(J114/I114,"")</f>
        <v/>
      </c>
      <c r="U114" s="37">
        <f>IFERROR(K114/C114,"")</f>
        <v/>
      </c>
      <c r="V114" s="36">
        <f>IFERROR(C114/J114,"")</f>
        <v/>
      </c>
      <c r="W114" s="36">
        <f>IFERROR(K114/J114,"")</f>
        <v/>
      </c>
      <c r="X114" s="37">
        <f>IFERROR(INDEX('Client Economics'!$J$5:$J$34,MATCH(B114,'Client Economics'!$A$5:$A$34,0)),"")</f>
        <v/>
      </c>
      <c r="Y114" s="37">
        <f>IFERROR(U114/X114,"")</f>
        <v/>
      </c>
      <c r="Z114" s="44">
        <f>IF(D114="","",IF(N(M114)&lt;'KPI Benchmarks'!$D$5,"Attention",IF(N(O114)&lt;'KPI Benchmarks'!$D$6,"Interest",IF(N(Q114)&lt;'KPI Benchmarks'!$D$8,"Page load",IF(N(R114)&lt;'KPI Benchmarks'!$D$9,"Buying intent",IF(N(S114)&lt;'KPI Benchmarks'!$D$10,"Cart",IF(N(T114)&lt;'KPI Benchmarks'!$D$11,"Checkout",IF(X114="","Add economics",IF(N(Y114)&lt;'KPI Benchmarks'!$D$12,"Economics","Healthy – scale")))))))))</f>
        <v/>
      </c>
      <c r="AA114" s="27">
        <f>IF(Z114="","",IF(Z114="Healthy – scale","All stages pass. Add $10–20/day or a new audience; test new creatives beside the main campaign.",IF(Z114="Add economics","Add this client to Client Economics.",IFERROR(INDEX('KPI Benchmarks'!$G$5:$G$12,MATCH(Z114,'KPI Benchmarks'!$A$5:$A$12,0)),""))))</f>
        <v/>
      </c>
      <c r="AB114" s="13" t="n"/>
    </row>
    <row r="115">
      <c r="A115" s="14" t="n"/>
      <c r="B115" s="13" t="n"/>
      <c r="C115" s="34" t="n"/>
      <c r="D115" s="40" t="n"/>
      <c r="E115" s="40" t="n"/>
      <c r="F115" s="40" t="n"/>
      <c r="G115" s="40" t="n"/>
      <c r="H115" s="40" t="n"/>
      <c r="I115" s="40" t="n"/>
      <c r="J115" s="40" t="n"/>
      <c r="K115" s="34" t="n"/>
      <c r="L115" s="36">
        <f>IFERROR(C115/D115*1000,"")</f>
        <v/>
      </c>
      <c r="M115" s="41">
        <f>IFERROR(E115/D115,"")</f>
        <v/>
      </c>
      <c r="N115" s="41">
        <f>IFERROR(F115/D115,"")</f>
        <v/>
      </c>
      <c r="O115" s="42">
        <f>IFERROR(N115/M115,"")</f>
        <v/>
      </c>
      <c r="P115" s="36">
        <f>IFERROR(C115/F115,"")</f>
        <v/>
      </c>
      <c r="Q115" s="42">
        <f>IFERROR(G115/F115,"")</f>
        <v/>
      </c>
      <c r="R115" s="43">
        <f>IFERROR(H115/G115,"")</f>
        <v/>
      </c>
      <c r="S115" s="42">
        <f>IFERROR(I115/H115,"")</f>
        <v/>
      </c>
      <c r="T115" s="42">
        <f>IFERROR(J115/I115,"")</f>
        <v/>
      </c>
      <c r="U115" s="37">
        <f>IFERROR(K115/C115,"")</f>
        <v/>
      </c>
      <c r="V115" s="36">
        <f>IFERROR(C115/J115,"")</f>
        <v/>
      </c>
      <c r="W115" s="36">
        <f>IFERROR(K115/J115,"")</f>
        <v/>
      </c>
      <c r="X115" s="37">
        <f>IFERROR(INDEX('Client Economics'!$J$5:$J$34,MATCH(B115,'Client Economics'!$A$5:$A$34,0)),"")</f>
        <v/>
      </c>
      <c r="Y115" s="37">
        <f>IFERROR(U115/X115,"")</f>
        <v/>
      </c>
      <c r="Z115" s="44">
        <f>IF(D115="","",IF(N(M115)&lt;'KPI Benchmarks'!$D$5,"Attention",IF(N(O115)&lt;'KPI Benchmarks'!$D$6,"Interest",IF(N(Q115)&lt;'KPI Benchmarks'!$D$8,"Page load",IF(N(R115)&lt;'KPI Benchmarks'!$D$9,"Buying intent",IF(N(S115)&lt;'KPI Benchmarks'!$D$10,"Cart",IF(N(T115)&lt;'KPI Benchmarks'!$D$11,"Checkout",IF(X115="","Add economics",IF(N(Y115)&lt;'KPI Benchmarks'!$D$12,"Economics","Healthy – scale")))))))))</f>
        <v/>
      </c>
      <c r="AA115" s="27">
        <f>IF(Z115="","",IF(Z115="Healthy – scale","All stages pass. Add $10–20/day or a new audience; test new creatives beside the main campaign.",IF(Z115="Add economics","Add this client to Client Economics.",IFERROR(INDEX('KPI Benchmarks'!$G$5:$G$12,MATCH(Z115,'KPI Benchmarks'!$A$5:$A$12,0)),""))))</f>
        <v/>
      </c>
      <c r="AB115" s="13" t="n"/>
    </row>
    <row r="116">
      <c r="A116" s="14" t="n"/>
      <c r="B116" s="13" t="n"/>
      <c r="C116" s="34" t="n"/>
      <c r="D116" s="40" t="n"/>
      <c r="E116" s="40" t="n"/>
      <c r="F116" s="40" t="n"/>
      <c r="G116" s="40" t="n"/>
      <c r="H116" s="40" t="n"/>
      <c r="I116" s="40" t="n"/>
      <c r="J116" s="40" t="n"/>
      <c r="K116" s="34" t="n"/>
      <c r="L116" s="36">
        <f>IFERROR(C116/D116*1000,"")</f>
        <v/>
      </c>
      <c r="M116" s="41">
        <f>IFERROR(E116/D116,"")</f>
        <v/>
      </c>
      <c r="N116" s="41">
        <f>IFERROR(F116/D116,"")</f>
        <v/>
      </c>
      <c r="O116" s="42">
        <f>IFERROR(N116/M116,"")</f>
        <v/>
      </c>
      <c r="P116" s="36">
        <f>IFERROR(C116/F116,"")</f>
        <v/>
      </c>
      <c r="Q116" s="42">
        <f>IFERROR(G116/F116,"")</f>
        <v/>
      </c>
      <c r="R116" s="43">
        <f>IFERROR(H116/G116,"")</f>
        <v/>
      </c>
      <c r="S116" s="42">
        <f>IFERROR(I116/H116,"")</f>
        <v/>
      </c>
      <c r="T116" s="42">
        <f>IFERROR(J116/I116,"")</f>
        <v/>
      </c>
      <c r="U116" s="37">
        <f>IFERROR(K116/C116,"")</f>
        <v/>
      </c>
      <c r="V116" s="36">
        <f>IFERROR(C116/J116,"")</f>
        <v/>
      </c>
      <c r="W116" s="36">
        <f>IFERROR(K116/J116,"")</f>
        <v/>
      </c>
      <c r="X116" s="37">
        <f>IFERROR(INDEX('Client Economics'!$J$5:$J$34,MATCH(B116,'Client Economics'!$A$5:$A$34,0)),"")</f>
        <v/>
      </c>
      <c r="Y116" s="37">
        <f>IFERROR(U116/X116,"")</f>
        <v/>
      </c>
      <c r="Z116" s="44">
        <f>IF(D116="","",IF(N(M116)&lt;'KPI Benchmarks'!$D$5,"Attention",IF(N(O116)&lt;'KPI Benchmarks'!$D$6,"Interest",IF(N(Q116)&lt;'KPI Benchmarks'!$D$8,"Page load",IF(N(R116)&lt;'KPI Benchmarks'!$D$9,"Buying intent",IF(N(S116)&lt;'KPI Benchmarks'!$D$10,"Cart",IF(N(T116)&lt;'KPI Benchmarks'!$D$11,"Checkout",IF(X116="","Add economics",IF(N(Y116)&lt;'KPI Benchmarks'!$D$12,"Economics","Healthy – scale")))))))))</f>
        <v/>
      </c>
      <c r="AA116" s="27">
        <f>IF(Z116="","",IF(Z116="Healthy – scale","All stages pass. Add $10–20/day or a new audience; test new creatives beside the main campaign.",IF(Z116="Add economics","Add this client to Client Economics.",IFERROR(INDEX('KPI Benchmarks'!$G$5:$G$12,MATCH(Z116,'KPI Benchmarks'!$A$5:$A$12,0)),""))))</f>
        <v/>
      </c>
      <c r="AB116" s="13" t="n"/>
    </row>
    <row r="117">
      <c r="A117" s="14" t="n"/>
      <c r="B117" s="13" t="n"/>
      <c r="C117" s="34" t="n"/>
      <c r="D117" s="40" t="n"/>
      <c r="E117" s="40" t="n"/>
      <c r="F117" s="40" t="n"/>
      <c r="G117" s="40" t="n"/>
      <c r="H117" s="40" t="n"/>
      <c r="I117" s="40" t="n"/>
      <c r="J117" s="40" t="n"/>
      <c r="K117" s="34" t="n"/>
      <c r="L117" s="36">
        <f>IFERROR(C117/D117*1000,"")</f>
        <v/>
      </c>
      <c r="M117" s="41">
        <f>IFERROR(E117/D117,"")</f>
        <v/>
      </c>
      <c r="N117" s="41">
        <f>IFERROR(F117/D117,"")</f>
        <v/>
      </c>
      <c r="O117" s="42">
        <f>IFERROR(N117/M117,"")</f>
        <v/>
      </c>
      <c r="P117" s="36">
        <f>IFERROR(C117/F117,"")</f>
        <v/>
      </c>
      <c r="Q117" s="42">
        <f>IFERROR(G117/F117,"")</f>
        <v/>
      </c>
      <c r="R117" s="43">
        <f>IFERROR(H117/G117,"")</f>
        <v/>
      </c>
      <c r="S117" s="42">
        <f>IFERROR(I117/H117,"")</f>
        <v/>
      </c>
      <c r="T117" s="42">
        <f>IFERROR(J117/I117,"")</f>
        <v/>
      </c>
      <c r="U117" s="37">
        <f>IFERROR(K117/C117,"")</f>
        <v/>
      </c>
      <c r="V117" s="36">
        <f>IFERROR(C117/J117,"")</f>
        <v/>
      </c>
      <c r="W117" s="36">
        <f>IFERROR(K117/J117,"")</f>
        <v/>
      </c>
      <c r="X117" s="37">
        <f>IFERROR(INDEX('Client Economics'!$J$5:$J$34,MATCH(B117,'Client Economics'!$A$5:$A$34,0)),"")</f>
        <v/>
      </c>
      <c r="Y117" s="37">
        <f>IFERROR(U117/X117,"")</f>
        <v/>
      </c>
      <c r="Z117" s="44">
        <f>IF(D117="","",IF(N(M117)&lt;'KPI Benchmarks'!$D$5,"Attention",IF(N(O117)&lt;'KPI Benchmarks'!$D$6,"Interest",IF(N(Q117)&lt;'KPI Benchmarks'!$D$8,"Page load",IF(N(R117)&lt;'KPI Benchmarks'!$D$9,"Buying intent",IF(N(S117)&lt;'KPI Benchmarks'!$D$10,"Cart",IF(N(T117)&lt;'KPI Benchmarks'!$D$11,"Checkout",IF(X117="","Add economics",IF(N(Y117)&lt;'KPI Benchmarks'!$D$12,"Economics","Healthy – scale")))))))))</f>
        <v/>
      </c>
      <c r="AA117" s="27">
        <f>IF(Z117="","",IF(Z117="Healthy – scale","All stages pass. Add $10–20/day or a new audience; test new creatives beside the main campaign.",IF(Z117="Add economics","Add this client to Client Economics.",IFERROR(INDEX('KPI Benchmarks'!$G$5:$G$12,MATCH(Z117,'KPI Benchmarks'!$A$5:$A$12,0)),""))))</f>
        <v/>
      </c>
      <c r="AB117" s="13" t="n"/>
    </row>
    <row r="118">
      <c r="A118" s="14" t="n"/>
      <c r="B118" s="13" t="n"/>
      <c r="C118" s="34" t="n"/>
      <c r="D118" s="40" t="n"/>
      <c r="E118" s="40" t="n"/>
      <c r="F118" s="40" t="n"/>
      <c r="G118" s="40" t="n"/>
      <c r="H118" s="40" t="n"/>
      <c r="I118" s="40" t="n"/>
      <c r="J118" s="40" t="n"/>
      <c r="K118" s="34" t="n"/>
      <c r="L118" s="36">
        <f>IFERROR(C118/D118*1000,"")</f>
        <v/>
      </c>
      <c r="M118" s="41">
        <f>IFERROR(E118/D118,"")</f>
        <v/>
      </c>
      <c r="N118" s="41">
        <f>IFERROR(F118/D118,"")</f>
        <v/>
      </c>
      <c r="O118" s="42">
        <f>IFERROR(N118/M118,"")</f>
        <v/>
      </c>
      <c r="P118" s="36">
        <f>IFERROR(C118/F118,"")</f>
        <v/>
      </c>
      <c r="Q118" s="42">
        <f>IFERROR(G118/F118,"")</f>
        <v/>
      </c>
      <c r="R118" s="43">
        <f>IFERROR(H118/G118,"")</f>
        <v/>
      </c>
      <c r="S118" s="42">
        <f>IFERROR(I118/H118,"")</f>
        <v/>
      </c>
      <c r="T118" s="42">
        <f>IFERROR(J118/I118,"")</f>
        <v/>
      </c>
      <c r="U118" s="37">
        <f>IFERROR(K118/C118,"")</f>
        <v/>
      </c>
      <c r="V118" s="36">
        <f>IFERROR(C118/J118,"")</f>
        <v/>
      </c>
      <c r="W118" s="36">
        <f>IFERROR(K118/J118,"")</f>
        <v/>
      </c>
      <c r="X118" s="37">
        <f>IFERROR(INDEX('Client Economics'!$J$5:$J$34,MATCH(B118,'Client Economics'!$A$5:$A$34,0)),"")</f>
        <v/>
      </c>
      <c r="Y118" s="37">
        <f>IFERROR(U118/X118,"")</f>
        <v/>
      </c>
      <c r="Z118" s="44">
        <f>IF(D118="","",IF(N(M118)&lt;'KPI Benchmarks'!$D$5,"Attention",IF(N(O118)&lt;'KPI Benchmarks'!$D$6,"Interest",IF(N(Q118)&lt;'KPI Benchmarks'!$D$8,"Page load",IF(N(R118)&lt;'KPI Benchmarks'!$D$9,"Buying intent",IF(N(S118)&lt;'KPI Benchmarks'!$D$10,"Cart",IF(N(T118)&lt;'KPI Benchmarks'!$D$11,"Checkout",IF(X118="","Add economics",IF(N(Y118)&lt;'KPI Benchmarks'!$D$12,"Economics","Healthy – scale")))))))))</f>
        <v/>
      </c>
      <c r="AA118" s="27">
        <f>IF(Z118="","",IF(Z118="Healthy – scale","All stages pass. Add $10–20/day or a new audience; test new creatives beside the main campaign.",IF(Z118="Add economics","Add this client to Client Economics.",IFERROR(INDEX('KPI Benchmarks'!$G$5:$G$12,MATCH(Z118,'KPI Benchmarks'!$A$5:$A$12,0)),""))))</f>
        <v/>
      </c>
      <c r="AB118" s="13" t="n"/>
    </row>
    <row r="119">
      <c r="A119" s="14" t="n"/>
      <c r="B119" s="13" t="n"/>
      <c r="C119" s="34" t="n"/>
      <c r="D119" s="40" t="n"/>
      <c r="E119" s="40" t="n"/>
      <c r="F119" s="40" t="n"/>
      <c r="G119" s="40" t="n"/>
      <c r="H119" s="40" t="n"/>
      <c r="I119" s="40" t="n"/>
      <c r="J119" s="40" t="n"/>
      <c r="K119" s="34" t="n"/>
      <c r="L119" s="36">
        <f>IFERROR(C119/D119*1000,"")</f>
        <v/>
      </c>
      <c r="M119" s="41">
        <f>IFERROR(E119/D119,"")</f>
        <v/>
      </c>
      <c r="N119" s="41">
        <f>IFERROR(F119/D119,"")</f>
        <v/>
      </c>
      <c r="O119" s="42">
        <f>IFERROR(N119/M119,"")</f>
        <v/>
      </c>
      <c r="P119" s="36">
        <f>IFERROR(C119/F119,"")</f>
        <v/>
      </c>
      <c r="Q119" s="42">
        <f>IFERROR(G119/F119,"")</f>
        <v/>
      </c>
      <c r="R119" s="43">
        <f>IFERROR(H119/G119,"")</f>
        <v/>
      </c>
      <c r="S119" s="42">
        <f>IFERROR(I119/H119,"")</f>
        <v/>
      </c>
      <c r="T119" s="42">
        <f>IFERROR(J119/I119,"")</f>
        <v/>
      </c>
      <c r="U119" s="37">
        <f>IFERROR(K119/C119,"")</f>
        <v/>
      </c>
      <c r="V119" s="36">
        <f>IFERROR(C119/J119,"")</f>
        <v/>
      </c>
      <c r="W119" s="36">
        <f>IFERROR(K119/J119,"")</f>
        <v/>
      </c>
      <c r="X119" s="37">
        <f>IFERROR(INDEX('Client Economics'!$J$5:$J$34,MATCH(B119,'Client Economics'!$A$5:$A$34,0)),"")</f>
        <v/>
      </c>
      <c r="Y119" s="37">
        <f>IFERROR(U119/X119,"")</f>
        <v/>
      </c>
      <c r="Z119" s="44">
        <f>IF(D119="","",IF(N(M119)&lt;'KPI Benchmarks'!$D$5,"Attention",IF(N(O119)&lt;'KPI Benchmarks'!$D$6,"Interest",IF(N(Q119)&lt;'KPI Benchmarks'!$D$8,"Page load",IF(N(R119)&lt;'KPI Benchmarks'!$D$9,"Buying intent",IF(N(S119)&lt;'KPI Benchmarks'!$D$10,"Cart",IF(N(T119)&lt;'KPI Benchmarks'!$D$11,"Checkout",IF(X119="","Add economics",IF(N(Y119)&lt;'KPI Benchmarks'!$D$12,"Economics","Healthy – scale")))))))))</f>
        <v/>
      </c>
      <c r="AA119" s="27">
        <f>IF(Z119="","",IF(Z119="Healthy – scale","All stages pass. Add $10–20/day or a new audience; test new creatives beside the main campaign.",IF(Z119="Add economics","Add this client to Client Economics.",IFERROR(INDEX('KPI Benchmarks'!$G$5:$G$12,MATCH(Z119,'KPI Benchmarks'!$A$5:$A$12,0)),""))))</f>
        <v/>
      </c>
      <c r="AB119" s="13" t="n"/>
    </row>
    <row r="120">
      <c r="A120" s="14" t="n"/>
      <c r="B120" s="13" t="n"/>
      <c r="C120" s="34" t="n"/>
      <c r="D120" s="40" t="n"/>
      <c r="E120" s="40" t="n"/>
      <c r="F120" s="40" t="n"/>
      <c r="G120" s="40" t="n"/>
      <c r="H120" s="40" t="n"/>
      <c r="I120" s="40" t="n"/>
      <c r="J120" s="40" t="n"/>
      <c r="K120" s="34" t="n"/>
      <c r="L120" s="36">
        <f>IFERROR(C120/D120*1000,"")</f>
        <v/>
      </c>
      <c r="M120" s="41">
        <f>IFERROR(E120/D120,"")</f>
        <v/>
      </c>
      <c r="N120" s="41">
        <f>IFERROR(F120/D120,"")</f>
        <v/>
      </c>
      <c r="O120" s="42">
        <f>IFERROR(N120/M120,"")</f>
        <v/>
      </c>
      <c r="P120" s="36">
        <f>IFERROR(C120/F120,"")</f>
        <v/>
      </c>
      <c r="Q120" s="42">
        <f>IFERROR(G120/F120,"")</f>
        <v/>
      </c>
      <c r="R120" s="43">
        <f>IFERROR(H120/G120,"")</f>
        <v/>
      </c>
      <c r="S120" s="42">
        <f>IFERROR(I120/H120,"")</f>
        <v/>
      </c>
      <c r="T120" s="42">
        <f>IFERROR(J120/I120,"")</f>
        <v/>
      </c>
      <c r="U120" s="37">
        <f>IFERROR(K120/C120,"")</f>
        <v/>
      </c>
      <c r="V120" s="36">
        <f>IFERROR(C120/J120,"")</f>
        <v/>
      </c>
      <c r="W120" s="36">
        <f>IFERROR(K120/J120,"")</f>
        <v/>
      </c>
      <c r="X120" s="37">
        <f>IFERROR(INDEX('Client Economics'!$J$5:$J$34,MATCH(B120,'Client Economics'!$A$5:$A$34,0)),"")</f>
        <v/>
      </c>
      <c r="Y120" s="37">
        <f>IFERROR(U120/X120,"")</f>
        <v/>
      </c>
      <c r="Z120" s="44">
        <f>IF(D120="","",IF(N(M120)&lt;'KPI Benchmarks'!$D$5,"Attention",IF(N(O120)&lt;'KPI Benchmarks'!$D$6,"Interest",IF(N(Q120)&lt;'KPI Benchmarks'!$D$8,"Page load",IF(N(R120)&lt;'KPI Benchmarks'!$D$9,"Buying intent",IF(N(S120)&lt;'KPI Benchmarks'!$D$10,"Cart",IF(N(T120)&lt;'KPI Benchmarks'!$D$11,"Checkout",IF(X120="","Add economics",IF(N(Y120)&lt;'KPI Benchmarks'!$D$12,"Economics","Healthy – scale")))))))))</f>
        <v/>
      </c>
      <c r="AA120" s="27">
        <f>IF(Z120="","",IF(Z120="Healthy – scale","All stages pass. Add $10–20/day or a new audience; test new creatives beside the main campaign.",IF(Z120="Add economics","Add this client to Client Economics.",IFERROR(INDEX('KPI Benchmarks'!$G$5:$G$12,MATCH(Z120,'KPI Benchmarks'!$A$5:$A$12,0)),""))))</f>
        <v/>
      </c>
      <c r="AB120" s="13" t="n"/>
    </row>
    <row r="121">
      <c r="A121" s="14" t="n"/>
      <c r="B121" s="13" t="n"/>
      <c r="C121" s="34" t="n"/>
      <c r="D121" s="40" t="n"/>
      <c r="E121" s="40" t="n"/>
      <c r="F121" s="40" t="n"/>
      <c r="G121" s="40" t="n"/>
      <c r="H121" s="40" t="n"/>
      <c r="I121" s="40" t="n"/>
      <c r="J121" s="40" t="n"/>
      <c r="K121" s="34" t="n"/>
      <c r="L121" s="36">
        <f>IFERROR(C121/D121*1000,"")</f>
        <v/>
      </c>
      <c r="M121" s="41">
        <f>IFERROR(E121/D121,"")</f>
        <v/>
      </c>
      <c r="N121" s="41">
        <f>IFERROR(F121/D121,"")</f>
        <v/>
      </c>
      <c r="O121" s="42">
        <f>IFERROR(N121/M121,"")</f>
        <v/>
      </c>
      <c r="P121" s="36">
        <f>IFERROR(C121/F121,"")</f>
        <v/>
      </c>
      <c r="Q121" s="42">
        <f>IFERROR(G121/F121,"")</f>
        <v/>
      </c>
      <c r="R121" s="43">
        <f>IFERROR(H121/G121,"")</f>
        <v/>
      </c>
      <c r="S121" s="42">
        <f>IFERROR(I121/H121,"")</f>
        <v/>
      </c>
      <c r="T121" s="42">
        <f>IFERROR(J121/I121,"")</f>
        <v/>
      </c>
      <c r="U121" s="37">
        <f>IFERROR(K121/C121,"")</f>
        <v/>
      </c>
      <c r="V121" s="36">
        <f>IFERROR(C121/J121,"")</f>
        <v/>
      </c>
      <c r="W121" s="36">
        <f>IFERROR(K121/J121,"")</f>
        <v/>
      </c>
      <c r="X121" s="37">
        <f>IFERROR(INDEX('Client Economics'!$J$5:$J$34,MATCH(B121,'Client Economics'!$A$5:$A$34,0)),"")</f>
        <v/>
      </c>
      <c r="Y121" s="37">
        <f>IFERROR(U121/X121,"")</f>
        <v/>
      </c>
      <c r="Z121" s="44">
        <f>IF(D121="","",IF(N(M121)&lt;'KPI Benchmarks'!$D$5,"Attention",IF(N(O121)&lt;'KPI Benchmarks'!$D$6,"Interest",IF(N(Q121)&lt;'KPI Benchmarks'!$D$8,"Page load",IF(N(R121)&lt;'KPI Benchmarks'!$D$9,"Buying intent",IF(N(S121)&lt;'KPI Benchmarks'!$D$10,"Cart",IF(N(T121)&lt;'KPI Benchmarks'!$D$11,"Checkout",IF(X121="","Add economics",IF(N(Y121)&lt;'KPI Benchmarks'!$D$12,"Economics","Healthy – scale")))))))))</f>
        <v/>
      </c>
      <c r="AA121" s="27">
        <f>IF(Z121="","",IF(Z121="Healthy – scale","All stages pass. Add $10–20/day or a new audience; test new creatives beside the main campaign.",IF(Z121="Add economics","Add this client to Client Economics.",IFERROR(INDEX('KPI Benchmarks'!$G$5:$G$12,MATCH(Z121,'KPI Benchmarks'!$A$5:$A$12,0)),""))))</f>
        <v/>
      </c>
      <c r="AB121" s="13" t="n"/>
    </row>
    <row r="122">
      <c r="A122" s="14" t="n"/>
      <c r="B122" s="13" t="n"/>
      <c r="C122" s="34" t="n"/>
      <c r="D122" s="40" t="n"/>
      <c r="E122" s="40" t="n"/>
      <c r="F122" s="40" t="n"/>
      <c r="G122" s="40" t="n"/>
      <c r="H122" s="40" t="n"/>
      <c r="I122" s="40" t="n"/>
      <c r="J122" s="40" t="n"/>
      <c r="K122" s="34" t="n"/>
      <c r="L122" s="36">
        <f>IFERROR(C122/D122*1000,"")</f>
        <v/>
      </c>
      <c r="M122" s="41">
        <f>IFERROR(E122/D122,"")</f>
        <v/>
      </c>
      <c r="N122" s="41">
        <f>IFERROR(F122/D122,"")</f>
        <v/>
      </c>
      <c r="O122" s="42">
        <f>IFERROR(N122/M122,"")</f>
        <v/>
      </c>
      <c r="P122" s="36">
        <f>IFERROR(C122/F122,"")</f>
        <v/>
      </c>
      <c r="Q122" s="42">
        <f>IFERROR(G122/F122,"")</f>
        <v/>
      </c>
      <c r="R122" s="43">
        <f>IFERROR(H122/G122,"")</f>
        <v/>
      </c>
      <c r="S122" s="42">
        <f>IFERROR(I122/H122,"")</f>
        <v/>
      </c>
      <c r="T122" s="42">
        <f>IFERROR(J122/I122,"")</f>
        <v/>
      </c>
      <c r="U122" s="37">
        <f>IFERROR(K122/C122,"")</f>
        <v/>
      </c>
      <c r="V122" s="36">
        <f>IFERROR(C122/J122,"")</f>
        <v/>
      </c>
      <c r="W122" s="36">
        <f>IFERROR(K122/J122,"")</f>
        <v/>
      </c>
      <c r="X122" s="37">
        <f>IFERROR(INDEX('Client Economics'!$J$5:$J$34,MATCH(B122,'Client Economics'!$A$5:$A$34,0)),"")</f>
        <v/>
      </c>
      <c r="Y122" s="37">
        <f>IFERROR(U122/X122,"")</f>
        <v/>
      </c>
      <c r="Z122" s="44">
        <f>IF(D122="","",IF(N(M122)&lt;'KPI Benchmarks'!$D$5,"Attention",IF(N(O122)&lt;'KPI Benchmarks'!$D$6,"Interest",IF(N(Q122)&lt;'KPI Benchmarks'!$D$8,"Page load",IF(N(R122)&lt;'KPI Benchmarks'!$D$9,"Buying intent",IF(N(S122)&lt;'KPI Benchmarks'!$D$10,"Cart",IF(N(T122)&lt;'KPI Benchmarks'!$D$11,"Checkout",IF(X122="","Add economics",IF(N(Y122)&lt;'KPI Benchmarks'!$D$12,"Economics","Healthy – scale")))))))))</f>
        <v/>
      </c>
      <c r="AA122" s="27">
        <f>IF(Z122="","",IF(Z122="Healthy – scale","All stages pass. Add $10–20/day or a new audience; test new creatives beside the main campaign.",IF(Z122="Add economics","Add this client to Client Economics.",IFERROR(INDEX('KPI Benchmarks'!$G$5:$G$12,MATCH(Z122,'KPI Benchmarks'!$A$5:$A$12,0)),""))))</f>
        <v/>
      </c>
      <c r="AB122" s="13" t="n"/>
    </row>
    <row r="123">
      <c r="A123" s="14" t="n"/>
      <c r="B123" s="13" t="n"/>
      <c r="C123" s="34" t="n"/>
      <c r="D123" s="40" t="n"/>
      <c r="E123" s="40" t="n"/>
      <c r="F123" s="40" t="n"/>
      <c r="G123" s="40" t="n"/>
      <c r="H123" s="40" t="n"/>
      <c r="I123" s="40" t="n"/>
      <c r="J123" s="40" t="n"/>
      <c r="K123" s="34" t="n"/>
      <c r="L123" s="36">
        <f>IFERROR(C123/D123*1000,"")</f>
        <v/>
      </c>
      <c r="M123" s="41">
        <f>IFERROR(E123/D123,"")</f>
        <v/>
      </c>
      <c r="N123" s="41">
        <f>IFERROR(F123/D123,"")</f>
        <v/>
      </c>
      <c r="O123" s="42">
        <f>IFERROR(N123/M123,"")</f>
        <v/>
      </c>
      <c r="P123" s="36">
        <f>IFERROR(C123/F123,"")</f>
        <v/>
      </c>
      <c r="Q123" s="42">
        <f>IFERROR(G123/F123,"")</f>
        <v/>
      </c>
      <c r="R123" s="43">
        <f>IFERROR(H123/G123,"")</f>
        <v/>
      </c>
      <c r="S123" s="42">
        <f>IFERROR(I123/H123,"")</f>
        <v/>
      </c>
      <c r="T123" s="42">
        <f>IFERROR(J123/I123,"")</f>
        <v/>
      </c>
      <c r="U123" s="37">
        <f>IFERROR(K123/C123,"")</f>
        <v/>
      </c>
      <c r="V123" s="36">
        <f>IFERROR(C123/J123,"")</f>
        <v/>
      </c>
      <c r="W123" s="36">
        <f>IFERROR(K123/J123,"")</f>
        <v/>
      </c>
      <c r="X123" s="37">
        <f>IFERROR(INDEX('Client Economics'!$J$5:$J$34,MATCH(B123,'Client Economics'!$A$5:$A$34,0)),"")</f>
        <v/>
      </c>
      <c r="Y123" s="37">
        <f>IFERROR(U123/X123,"")</f>
        <v/>
      </c>
      <c r="Z123" s="44">
        <f>IF(D123="","",IF(N(M123)&lt;'KPI Benchmarks'!$D$5,"Attention",IF(N(O123)&lt;'KPI Benchmarks'!$D$6,"Interest",IF(N(Q123)&lt;'KPI Benchmarks'!$D$8,"Page load",IF(N(R123)&lt;'KPI Benchmarks'!$D$9,"Buying intent",IF(N(S123)&lt;'KPI Benchmarks'!$D$10,"Cart",IF(N(T123)&lt;'KPI Benchmarks'!$D$11,"Checkout",IF(X123="","Add economics",IF(N(Y123)&lt;'KPI Benchmarks'!$D$12,"Economics","Healthy – scale")))))))))</f>
        <v/>
      </c>
      <c r="AA123" s="27">
        <f>IF(Z123="","",IF(Z123="Healthy – scale","All stages pass. Add $10–20/day or a new audience; test new creatives beside the main campaign.",IF(Z123="Add economics","Add this client to Client Economics.",IFERROR(INDEX('KPI Benchmarks'!$G$5:$G$12,MATCH(Z123,'KPI Benchmarks'!$A$5:$A$12,0)),""))))</f>
        <v/>
      </c>
      <c r="AB123" s="13" t="n"/>
    </row>
    <row r="124">
      <c r="A124" s="14" t="n"/>
      <c r="B124" s="13" t="n"/>
      <c r="C124" s="34" t="n"/>
      <c r="D124" s="40" t="n"/>
      <c r="E124" s="40" t="n"/>
      <c r="F124" s="40" t="n"/>
      <c r="G124" s="40" t="n"/>
      <c r="H124" s="40" t="n"/>
      <c r="I124" s="40" t="n"/>
      <c r="J124" s="40" t="n"/>
      <c r="K124" s="34" t="n"/>
      <c r="L124" s="36">
        <f>IFERROR(C124/D124*1000,"")</f>
        <v/>
      </c>
      <c r="M124" s="41">
        <f>IFERROR(E124/D124,"")</f>
        <v/>
      </c>
      <c r="N124" s="41">
        <f>IFERROR(F124/D124,"")</f>
        <v/>
      </c>
      <c r="O124" s="42">
        <f>IFERROR(N124/M124,"")</f>
        <v/>
      </c>
      <c r="P124" s="36">
        <f>IFERROR(C124/F124,"")</f>
        <v/>
      </c>
      <c r="Q124" s="42">
        <f>IFERROR(G124/F124,"")</f>
        <v/>
      </c>
      <c r="R124" s="43">
        <f>IFERROR(H124/G124,"")</f>
        <v/>
      </c>
      <c r="S124" s="42">
        <f>IFERROR(I124/H124,"")</f>
        <v/>
      </c>
      <c r="T124" s="42">
        <f>IFERROR(J124/I124,"")</f>
        <v/>
      </c>
      <c r="U124" s="37">
        <f>IFERROR(K124/C124,"")</f>
        <v/>
      </c>
      <c r="V124" s="36">
        <f>IFERROR(C124/J124,"")</f>
        <v/>
      </c>
      <c r="W124" s="36">
        <f>IFERROR(K124/J124,"")</f>
        <v/>
      </c>
      <c r="X124" s="37">
        <f>IFERROR(INDEX('Client Economics'!$J$5:$J$34,MATCH(B124,'Client Economics'!$A$5:$A$34,0)),"")</f>
        <v/>
      </c>
      <c r="Y124" s="37">
        <f>IFERROR(U124/X124,"")</f>
        <v/>
      </c>
      <c r="Z124" s="44">
        <f>IF(D124="","",IF(N(M124)&lt;'KPI Benchmarks'!$D$5,"Attention",IF(N(O124)&lt;'KPI Benchmarks'!$D$6,"Interest",IF(N(Q124)&lt;'KPI Benchmarks'!$D$8,"Page load",IF(N(R124)&lt;'KPI Benchmarks'!$D$9,"Buying intent",IF(N(S124)&lt;'KPI Benchmarks'!$D$10,"Cart",IF(N(T124)&lt;'KPI Benchmarks'!$D$11,"Checkout",IF(X124="","Add economics",IF(N(Y124)&lt;'KPI Benchmarks'!$D$12,"Economics","Healthy – scale")))))))))</f>
        <v/>
      </c>
      <c r="AA124" s="27">
        <f>IF(Z124="","",IF(Z124="Healthy – scale","All stages pass. Add $10–20/day or a new audience; test new creatives beside the main campaign.",IF(Z124="Add economics","Add this client to Client Economics.",IFERROR(INDEX('KPI Benchmarks'!$G$5:$G$12,MATCH(Z124,'KPI Benchmarks'!$A$5:$A$12,0)),""))))</f>
        <v/>
      </c>
      <c r="AB124" s="13" t="n"/>
    </row>
    <row r="125">
      <c r="A125" s="14" t="n"/>
      <c r="B125" s="13" t="n"/>
      <c r="C125" s="34" t="n"/>
      <c r="D125" s="40" t="n"/>
      <c r="E125" s="40" t="n"/>
      <c r="F125" s="40" t="n"/>
      <c r="G125" s="40" t="n"/>
      <c r="H125" s="40" t="n"/>
      <c r="I125" s="40" t="n"/>
      <c r="J125" s="40" t="n"/>
      <c r="K125" s="34" t="n"/>
      <c r="L125" s="36">
        <f>IFERROR(C125/D125*1000,"")</f>
        <v/>
      </c>
      <c r="M125" s="41">
        <f>IFERROR(E125/D125,"")</f>
        <v/>
      </c>
      <c r="N125" s="41">
        <f>IFERROR(F125/D125,"")</f>
        <v/>
      </c>
      <c r="O125" s="42">
        <f>IFERROR(N125/M125,"")</f>
        <v/>
      </c>
      <c r="P125" s="36">
        <f>IFERROR(C125/F125,"")</f>
        <v/>
      </c>
      <c r="Q125" s="42">
        <f>IFERROR(G125/F125,"")</f>
        <v/>
      </c>
      <c r="R125" s="43">
        <f>IFERROR(H125/G125,"")</f>
        <v/>
      </c>
      <c r="S125" s="42">
        <f>IFERROR(I125/H125,"")</f>
        <v/>
      </c>
      <c r="T125" s="42">
        <f>IFERROR(J125/I125,"")</f>
        <v/>
      </c>
      <c r="U125" s="37">
        <f>IFERROR(K125/C125,"")</f>
        <v/>
      </c>
      <c r="V125" s="36">
        <f>IFERROR(C125/J125,"")</f>
        <v/>
      </c>
      <c r="W125" s="36">
        <f>IFERROR(K125/J125,"")</f>
        <v/>
      </c>
      <c r="X125" s="37">
        <f>IFERROR(INDEX('Client Economics'!$J$5:$J$34,MATCH(B125,'Client Economics'!$A$5:$A$34,0)),"")</f>
        <v/>
      </c>
      <c r="Y125" s="37">
        <f>IFERROR(U125/X125,"")</f>
        <v/>
      </c>
      <c r="Z125" s="44">
        <f>IF(D125="","",IF(N(M125)&lt;'KPI Benchmarks'!$D$5,"Attention",IF(N(O125)&lt;'KPI Benchmarks'!$D$6,"Interest",IF(N(Q125)&lt;'KPI Benchmarks'!$D$8,"Page load",IF(N(R125)&lt;'KPI Benchmarks'!$D$9,"Buying intent",IF(N(S125)&lt;'KPI Benchmarks'!$D$10,"Cart",IF(N(T125)&lt;'KPI Benchmarks'!$D$11,"Checkout",IF(X125="","Add economics",IF(N(Y125)&lt;'KPI Benchmarks'!$D$12,"Economics","Healthy – scale")))))))))</f>
        <v/>
      </c>
      <c r="AA125" s="27">
        <f>IF(Z125="","",IF(Z125="Healthy – scale","All stages pass. Add $10–20/day or a new audience; test new creatives beside the main campaign.",IF(Z125="Add economics","Add this client to Client Economics.",IFERROR(INDEX('KPI Benchmarks'!$G$5:$G$12,MATCH(Z125,'KPI Benchmarks'!$A$5:$A$12,0)),""))))</f>
        <v/>
      </c>
      <c r="AB125" s="13" t="n"/>
    </row>
    <row r="126">
      <c r="A126" s="14" t="n"/>
      <c r="B126" s="13" t="n"/>
      <c r="C126" s="34" t="n"/>
      <c r="D126" s="40" t="n"/>
      <c r="E126" s="40" t="n"/>
      <c r="F126" s="40" t="n"/>
      <c r="G126" s="40" t="n"/>
      <c r="H126" s="40" t="n"/>
      <c r="I126" s="40" t="n"/>
      <c r="J126" s="40" t="n"/>
      <c r="K126" s="34" t="n"/>
      <c r="L126" s="36">
        <f>IFERROR(C126/D126*1000,"")</f>
        <v/>
      </c>
      <c r="M126" s="41">
        <f>IFERROR(E126/D126,"")</f>
        <v/>
      </c>
      <c r="N126" s="41">
        <f>IFERROR(F126/D126,"")</f>
        <v/>
      </c>
      <c r="O126" s="42">
        <f>IFERROR(N126/M126,"")</f>
        <v/>
      </c>
      <c r="P126" s="36">
        <f>IFERROR(C126/F126,"")</f>
        <v/>
      </c>
      <c r="Q126" s="42">
        <f>IFERROR(G126/F126,"")</f>
        <v/>
      </c>
      <c r="R126" s="43">
        <f>IFERROR(H126/G126,"")</f>
        <v/>
      </c>
      <c r="S126" s="42">
        <f>IFERROR(I126/H126,"")</f>
        <v/>
      </c>
      <c r="T126" s="42">
        <f>IFERROR(J126/I126,"")</f>
        <v/>
      </c>
      <c r="U126" s="37">
        <f>IFERROR(K126/C126,"")</f>
        <v/>
      </c>
      <c r="V126" s="36">
        <f>IFERROR(C126/J126,"")</f>
        <v/>
      </c>
      <c r="W126" s="36">
        <f>IFERROR(K126/J126,"")</f>
        <v/>
      </c>
      <c r="X126" s="37">
        <f>IFERROR(INDEX('Client Economics'!$J$5:$J$34,MATCH(B126,'Client Economics'!$A$5:$A$34,0)),"")</f>
        <v/>
      </c>
      <c r="Y126" s="37">
        <f>IFERROR(U126/X126,"")</f>
        <v/>
      </c>
      <c r="Z126" s="44">
        <f>IF(D126="","",IF(N(M126)&lt;'KPI Benchmarks'!$D$5,"Attention",IF(N(O126)&lt;'KPI Benchmarks'!$D$6,"Interest",IF(N(Q126)&lt;'KPI Benchmarks'!$D$8,"Page load",IF(N(R126)&lt;'KPI Benchmarks'!$D$9,"Buying intent",IF(N(S126)&lt;'KPI Benchmarks'!$D$10,"Cart",IF(N(T126)&lt;'KPI Benchmarks'!$D$11,"Checkout",IF(X126="","Add economics",IF(N(Y126)&lt;'KPI Benchmarks'!$D$12,"Economics","Healthy – scale")))))))))</f>
        <v/>
      </c>
      <c r="AA126" s="27">
        <f>IF(Z126="","",IF(Z126="Healthy – scale","All stages pass. Add $10–20/day or a new audience; test new creatives beside the main campaign.",IF(Z126="Add economics","Add this client to Client Economics.",IFERROR(INDEX('KPI Benchmarks'!$G$5:$G$12,MATCH(Z126,'KPI Benchmarks'!$A$5:$A$12,0)),""))))</f>
        <v/>
      </c>
      <c r="AB126" s="13" t="n"/>
    </row>
    <row r="127">
      <c r="A127" s="14" t="n"/>
      <c r="B127" s="13" t="n"/>
      <c r="C127" s="34" t="n"/>
      <c r="D127" s="40" t="n"/>
      <c r="E127" s="40" t="n"/>
      <c r="F127" s="40" t="n"/>
      <c r="G127" s="40" t="n"/>
      <c r="H127" s="40" t="n"/>
      <c r="I127" s="40" t="n"/>
      <c r="J127" s="40" t="n"/>
      <c r="K127" s="34" t="n"/>
      <c r="L127" s="36">
        <f>IFERROR(C127/D127*1000,"")</f>
        <v/>
      </c>
      <c r="M127" s="41">
        <f>IFERROR(E127/D127,"")</f>
        <v/>
      </c>
      <c r="N127" s="41">
        <f>IFERROR(F127/D127,"")</f>
        <v/>
      </c>
      <c r="O127" s="42">
        <f>IFERROR(N127/M127,"")</f>
        <v/>
      </c>
      <c r="P127" s="36">
        <f>IFERROR(C127/F127,"")</f>
        <v/>
      </c>
      <c r="Q127" s="42">
        <f>IFERROR(G127/F127,"")</f>
        <v/>
      </c>
      <c r="R127" s="43">
        <f>IFERROR(H127/G127,"")</f>
        <v/>
      </c>
      <c r="S127" s="42">
        <f>IFERROR(I127/H127,"")</f>
        <v/>
      </c>
      <c r="T127" s="42">
        <f>IFERROR(J127/I127,"")</f>
        <v/>
      </c>
      <c r="U127" s="37">
        <f>IFERROR(K127/C127,"")</f>
        <v/>
      </c>
      <c r="V127" s="36">
        <f>IFERROR(C127/J127,"")</f>
        <v/>
      </c>
      <c r="W127" s="36">
        <f>IFERROR(K127/J127,"")</f>
        <v/>
      </c>
      <c r="X127" s="37">
        <f>IFERROR(INDEX('Client Economics'!$J$5:$J$34,MATCH(B127,'Client Economics'!$A$5:$A$34,0)),"")</f>
        <v/>
      </c>
      <c r="Y127" s="37">
        <f>IFERROR(U127/X127,"")</f>
        <v/>
      </c>
      <c r="Z127" s="44">
        <f>IF(D127="","",IF(N(M127)&lt;'KPI Benchmarks'!$D$5,"Attention",IF(N(O127)&lt;'KPI Benchmarks'!$D$6,"Interest",IF(N(Q127)&lt;'KPI Benchmarks'!$D$8,"Page load",IF(N(R127)&lt;'KPI Benchmarks'!$D$9,"Buying intent",IF(N(S127)&lt;'KPI Benchmarks'!$D$10,"Cart",IF(N(T127)&lt;'KPI Benchmarks'!$D$11,"Checkout",IF(X127="","Add economics",IF(N(Y127)&lt;'KPI Benchmarks'!$D$12,"Economics","Healthy – scale")))))))))</f>
        <v/>
      </c>
      <c r="AA127" s="27">
        <f>IF(Z127="","",IF(Z127="Healthy – scale","All stages pass. Add $10–20/day or a new audience; test new creatives beside the main campaign.",IF(Z127="Add economics","Add this client to Client Economics.",IFERROR(INDEX('KPI Benchmarks'!$G$5:$G$12,MATCH(Z127,'KPI Benchmarks'!$A$5:$A$12,0)),""))))</f>
        <v/>
      </c>
      <c r="AB127" s="13" t="n"/>
    </row>
    <row r="128">
      <c r="A128" s="14" t="n"/>
      <c r="B128" s="13" t="n"/>
      <c r="C128" s="34" t="n"/>
      <c r="D128" s="40" t="n"/>
      <c r="E128" s="40" t="n"/>
      <c r="F128" s="40" t="n"/>
      <c r="G128" s="40" t="n"/>
      <c r="H128" s="40" t="n"/>
      <c r="I128" s="40" t="n"/>
      <c r="J128" s="40" t="n"/>
      <c r="K128" s="34" t="n"/>
      <c r="L128" s="36">
        <f>IFERROR(C128/D128*1000,"")</f>
        <v/>
      </c>
      <c r="M128" s="41">
        <f>IFERROR(E128/D128,"")</f>
        <v/>
      </c>
      <c r="N128" s="41">
        <f>IFERROR(F128/D128,"")</f>
        <v/>
      </c>
      <c r="O128" s="42">
        <f>IFERROR(N128/M128,"")</f>
        <v/>
      </c>
      <c r="P128" s="36">
        <f>IFERROR(C128/F128,"")</f>
        <v/>
      </c>
      <c r="Q128" s="42">
        <f>IFERROR(G128/F128,"")</f>
        <v/>
      </c>
      <c r="R128" s="43">
        <f>IFERROR(H128/G128,"")</f>
        <v/>
      </c>
      <c r="S128" s="42">
        <f>IFERROR(I128/H128,"")</f>
        <v/>
      </c>
      <c r="T128" s="42">
        <f>IFERROR(J128/I128,"")</f>
        <v/>
      </c>
      <c r="U128" s="37">
        <f>IFERROR(K128/C128,"")</f>
        <v/>
      </c>
      <c r="V128" s="36">
        <f>IFERROR(C128/J128,"")</f>
        <v/>
      </c>
      <c r="W128" s="36">
        <f>IFERROR(K128/J128,"")</f>
        <v/>
      </c>
      <c r="X128" s="37">
        <f>IFERROR(INDEX('Client Economics'!$J$5:$J$34,MATCH(B128,'Client Economics'!$A$5:$A$34,0)),"")</f>
        <v/>
      </c>
      <c r="Y128" s="37">
        <f>IFERROR(U128/X128,"")</f>
        <v/>
      </c>
      <c r="Z128" s="44">
        <f>IF(D128="","",IF(N(M128)&lt;'KPI Benchmarks'!$D$5,"Attention",IF(N(O128)&lt;'KPI Benchmarks'!$D$6,"Interest",IF(N(Q128)&lt;'KPI Benchmarks'!$D$8,"Page load",IF(N(R128)&lt;'KPI Benchmarks'!$D$9,"Buying intent",IF(N(S128)&lt;'KPI Benchmarks'!$D$10,"Cart",IF(N(T128)&lt;'KPI Benchmarks'!$D$11,"Checkout",IF(X128="","Add economics",IF(N(Y128)&lt;'KPI Benchmarks'!$D$12,"Economics","Healthy – scale")))))))))</f>
        <v/>
      </c>
      <c r="AA128" s="27">
        <f>IF(Z128="","",IF(Z128="Healthy – scale","All stages pass. Add $10–20/day or a new audience; test new creatives beside the main campaign.",IF(Z128="Add economics","Add this client to Client Economics.",IFERROR(INDEX('KPI Benchmarks'!$G$5:$G$12,MATCH(Z128,'KPI Benchmarks'!$A$5:$A$12,0)),""))))</f>
        <v/>
      </c>
      <c r="AB128" s="13" t="n"/>
    </row>
    <row r="129">
      <c r="A129" s="14" t="n"/>
      <c r="B129" s="13" t="n"/>
      <c r="C129" s="34" t="n"/>
      <c r="D129" s="40" t="n"/>
      <c r="E129" s="40" t="n"/>
      <c r="F129" s="40" t="n"/>
      <c r="G129" s="40" t="n"/>
      <c r="H129" s="40" t="n"/>
      <c r="I129" s="40" t="n"/>
      <c r="J129" s="40" t="n"/>
      <c r="K129" s="34" t="n"/>
      <c r="L129" s="36">
        <f>IFERROR(C129/D129*1000,"")</f>
        <v/>
      </c>
      <c r="M129" s="41">
        <f>IFERROR(E129/D129,"")</f>
        <v/>
      </c>
      <c r="N129" s="41">
        <f>IFERROR(F129/D129,"")</f>
        <v/>
      </c>
      <c r="O129" s="42">
        <f>IFERROR(N129/M129,"")</f>
        <v/>
      </c>
      <c r="P129" s="36">
        <f>IFERROR(C129/F129,"")</f>
        <v/>
      </c>
      <c r="Q129" s="42">
        <f>IFERROR(G129/F129,"")</f>
        <v/>
      </c>
      <c r="R129" s="43">
        <f>IFERROR(H129/G129,"")</f>
        <v/>
      </c>
      <c r="S129" s="42">
        <f>IFERROR(I129/H129,"")</f>
        <v/>
      </c>
      <c r="T129" s="42">
        <f>IFERROR(J129/I129,"")</f>
        <v/>
      </c>
      <c r="U129" s="37">
        <f>IFERROR(K129/C129,"")</f>
        <v/>
      </c>
      <c r="V129" s="36">
        <f>IFERROR(C129/J129,"")</f>
        <v/>
      </c>
      <c r="W129" s="36">
        <f>IFERROR(K129/J129,"")</f>
        <v/>
      </c>
      <c r="X129" s="37">
        <f>IFERROR(INDEX('Client Economics'!$J$5:$J$34,MATCH(B129,'Client Economics'!$A$5:$A$34,0)),"")</f>
        <v/>
      </c>
      <c r="Y129" s="37">
        <f>IFERROR(U129/X129,"")</f>
        <v/>
      </c>
      <c r="Z129" s="44">
        <f>IF(D129="","",IF(N(M129)&lt;'KPI Benchmarks'!$D$5,"Attention",IF(N(O129)&lt;'KPI Benchmarks'!$D$6,"Interest",IF(N(Q129)&lt;'KPI Benchmarks'!$D$8,"Page load",IF(N(R129)&lt;'KPI Benchmarks'!$D$9,"Buying intent",IF(N(S129)&lt;'KPI Benchmarks'!$D$10,"Cart",IF(N(T129)&lt;'KPI Benchmarks'!$D$11,"Checkout",IF(X129="","Add economics",IF(N(Y129)&lt;'KPI Benchmarks'!$D$12,"Economics","Healthy – scale")))))))))</f>
        <v/>
      </c>
      <c r="AA129" s="27">
        <f>IF(Z129="","",IF(Z129="Healthy – scale","All stages pass. Add $10–20/day or a new audience; test new creatives beside the main campaign.",IF(Z129="Add economics","Add this client to Client Economics.",IFERROR(INDEX('KPI Benchmarks'!$G$5:$G$12,MATCH(Z129,'KPI Benchmarks'!$A$5:$A$12,0)),""))))</f>
        <v/>
      </c>
      <c r="AB129" s="13" t="n"/>
    </row>
    <row r="130">
      <c r="A130" s="14" t="n"/>
      <c r="B130" s="13" t="n"/>
      <c r="C130" s="34" t="n"/>
      <c r="D130" s="40" t="n"/>
      <c r="E130" s="40" t="n"/>
      <c r="F130" s="40" t="n"/>
      <c r="G130" s="40" t="n"/>
      <c r="H130" s="40" t="n"/>
      <c r="I130" s="40" t="n"/>
      <c r="J130" s="40" t="n"/>
      <c r="K130" s="34" t="n"/>
      <c r="L130" s="36">
        <f>IFERROR(C130/D130*1000,"")</f>
        <v/>
      </c>
      <c r="M130" s="41">
        <f>IFERROR(E130/D130,"")</f>
        <v/>
      </c>
      <c r="N130" s="41">
        <f>IFERROR(F130/D130,"")</f>
        <v/>
      </c>
      <c r="O130" s="42">
        <f>IFERROR(N130/M130,"")</f>
        <v/>
      </c>
      <c r="P130" s="36">
        <f>IFERROR(C130/F130,"")</f>
        <v/>
      </c>
      <c r="Q130" s="42">
        <f>IFERROR(G130/F130,"")</f>
        <v/>
      </c>
      <c r="R130" s="43">
        <f>IFERROR(H130/G130,"")</f>
        <v/>
      </c>
      <c r="S130" s="42">
        <f>IFERROR(I130/H130,"")</f>
        <v/>
      </c>
      <c r="T130" s="42">
        <f>IFERROR(J130/I130,"")</f>
        <v/>
      </c>
      <c r="U130" s="37">
        <f>IFERROR(K130/C130,"")</f>
        <v/>
      </c>
      <c r="V130" s="36">
        <f>IFERROR(C130/J130,"")</f>
        <v/>
      </c>
      <c r="W130" s="36">
        <f>IFERROR(K130/J130,"")</f>
        <v/>
      </c>
      <c r="X130" s="37">
        <f>IFERROR(INDEX('Client Economics'!$J$5:$J$34,MATCH(B130,'Client Economics'!$A$5:$A$34,0)),"")</f>
        <v/>
      </c>
      <c r="Y130" s="37">
        <f>IFERROR(U130/X130,"")</f>
        <v/>
      </c>
      <c r="Z130" s="44">
        <f>IF(D130="","",IF(N(M130)&lt;'KPI Benchmarks'!$D$5,"Attention",IF(N(O130)&lt;'KPI Benchmarks'!$D$6,"Interest",IF(N(Q130)&lt;'KPI Benchmarks'!$D$8,"Page load",IF(N(R130)&lt;'KPI Benchmarks'!$D$9,"Buying intent",IF(N(S130)&lt;'KPI Benchmarks'!$D$10,"Cart",IF(N(T130)&lt;'KPI Benchmarks'!$D$11,"Checkout",IF(X130="","Add economics",IF(N(Y130)&lt;'KPI Benchmarks'!$D$12,"Economics","Healthy – scale")))))))))</f>
        <v/>
      </c>
      <c r="AA130" s="27">
        <f>IF(Z130="","",IF(Z130="Healthy – scale","All stages pass. Add $10–20/day or a new audience; test new creatives beside the main campaign.",IF(Z130="Add economics","Add this client to Client Economics.",IFERROR(INDEX('KPI Benchmarks'!$G$5:$G$12,MATCH(Z130,'KPI Benchmarks'!$A$5:$A$12,0)),""))))</f>
        <v/>
      </c>
      <c r="AB130" s="13" t="n"/>
    </row>
    <row r="131">
      <c r="A131" s="14" t="n"/>
      <c r="B131" s="13" t="n"/>
      <c r="C131" s="34" t="n"/>
      <c r="D131" s="40" t="n"/>
      <c r="E131" s="40" t="n"/>
      <c r="F131" s="40" t="n"/>
      <c r="G131" s="40" t="n"/>
      <c r="H131" s="40" t="n"/>
      <c r="I131" s="40" t="n"/>
      <c r="J131" s="40" t="n"/>
      <c r="K131" s="34" t="n"/>
      <c r="L131" s="36">
        <f>IFERROR(C131/D131*1000,"")</f>
        <v/>
      </c>
      <c r="M131" s="41">
        <f>IFERROR(E131/D131,"")</f>
        <v/>
      </c>
      <c r="N131" s="41">
        <f>IFERROR(F131/D131,"")</f>
        <v/>
      </c>
      <c r="O131" s="42">
        <f>IFERROR(N131/M131,"")</f>
        <v/>
      </c>
      <c r="P131" s="36">
        <f>IFERROR(C131/F131,"")</f>
        <v/>
      </c>
      <c r="Q131" s="42">
        <f>IFERROR(G131/F131,"")</f>
        <v/>
      </c>
      <c r="R131" s="43">
        <f>IFERROR(H131/G131,"")</f>
        <v/>
      </c>
      <c r="S131" s="42">
        <f>IFERROR(I131/H131,"")</f>
        <v/>
      </c>
      <c r="T131" s="42">
        <f>IFERROR(J131/I131,"")</f>
        <v/>
      </c>
      <c r="U131" s="37">
        <f>IFERROR(K131/C131,"")</f>
        <v/>
      </c>
      <c r="V131" s="36">
        <f>IFERROR(C131/J131,"")</f>
        <v/>
      </c>
      <c r="W131" s="36">
        <f>IFERROR(K131/J131,"")</f>
        <v/>
      </c>
      <c r="X131" s="37">
        <f>IFERROR(INDEX('Client Economics'!$J$5:$J$34,MATCH(B131,'Client Economics'!$A$5:$A$34,0)),"")</f>
        <v/>
      </c>
      <c r="Y131" s="37">
        <f>IFERROR(U131/X131,"")</f>
        <v/>
      </c>
      <c r="Z131" s="44">
        <f>IF(D131="","",IF(N(M131)&lt;'KPI Benchmarks'!$D$5,"Attention",IF(N(O131)&lt;'KPI Benchmarks'!$D$6,"Interest",IF(N(Q131)&lt;'KPI Benchmarks'!$D$8,"Page load",IF(N(R131)&lt;'KPI Benchmarks'!$D$9,"Buying intent",IF(N(S131)&lt;'KPI Benchmarks'!$D$10,"Cart",IF(N(T131)&lt;'KPI Benchmarks'!$D$11,"Checkout",IF(X131="","Add economics",IF(N(Y131)&lt;'KPI Benchmarks'!$D$12,"Economics","Healthy – scale")))))))))</f>
        <v/>
      </c>
      <c r="AA131" s="27">
        <f>IF(Z131="","",IF(Z131="Healthy – scale","All stages pass. Add $10–20/day or a new audience; test new creatives beside the main campaign.",IF(Z131="Add economics","Add this client to Client Economics.",IFERROR(INDEX('KPI Benchmarks'!$G$5:$G$12,MATCH(Z131,'KPI Benchmarks'!$A$5:$A$12,0)),""))))</f>
        <v/>
      </c>
      <c r="AB131" s="13" t="n"/>
    </row>
    <row r="132">
      <c r="A132" s="14" t="n"/>
      <c r="B132" s="13" t="n"/>
      <c r="C132" s="34" t="n"/>
      <c r="D132" s="40" t="n"/>
      <c r="E132" s="40" t="n"/>
      <c r="F132" s="40" t="n"/>
      <c r="G132" s="40" t="n"/>
      <c r="H132" s="40" t="n"/>
      <c r="I132" s="40" t="n"/>
      <c r="J132" s="40" t="n"/>
      <c r="K132" s="34" t="n"/>
      <c r="L132" s="36">
        <f>IFERROR(C132/D132*1000,"")</f>
        <v/>
      </c>
      <c r="M132" s="41">
        <f>IFERROR(E132/D132,"")</f>
        <v/>
      </c>
      <c r="N132" s="41">
        <f>IFERROR(F132/D132,"")</f>
        <v/>
      </c>
      <c r="O132" s="42">
        <f>IFERROR(N132/M132,"")</f>
        <v/>
      </c>
      <c r="P132" s="36">
        <f>IFERROR(C132/F132,"")</f>
        <v/>
      </c>
      <c r="Q132" s="42">
        <f>IFERROR(G132/F132,"")</f>
        <v/>
      </c>
      <c r="R132" s="43">
        <f>IFERROR(H132/G132,"")</f>
        <v/>
      </c>
      <c r="S132" s="42">
        <f>IFERROR(I132/H132,"")</f>
        <v/>
      </c>
      <c r="T132" s="42">
        <f>IFERROR(J132/I132,"")</f>
        <v/>
      </c>
      <c r="U132" s="37">
        <f>IFERROR(K132/C132,"")</f>
        <v/>
      </c>
      <c r="V132" s="36">
        <f>IFERROR(C132/J132,"")</f>
        <v/>
      </c>
      <c r="W132" s="36">
        <f>IFERROR(K132/J132,"")</f>
        <v/>
      </c>
      <c r="X132" s="37">
        <f>IFERROR(INDEX('Client Economics'!$J$5:$J$34,MATCH(B132,'Client Economics'!$A$5:$A$34,0)),"")</f>
        <v/>
      </c>
      <c r="Y132" s="37">
        <f>IFERROR(U132/X132,"")</f>
        <v/>
      </c>
      <c r="Z132" s="44">
        <f>IF(D132="","",IF(N(M132)&lt;'KPI Benchmarks'!$D$5,"Attention",IF(N(O132)&lt;'KPI Benchmarks'!$D$6,"Interest",IF(N(Q132)&lt;'KPI Benchmarks'!$D$8,"Page load",IF(N(R132)&lt;'KPI Benchmarks'!$D$9,"Buying intent",IF(N(S132)&lt;'KPI Benchmarks'!$D$10,"Cart",IF(N(T132)&lt;'KPI Benchmarks'!$D$11,"Checkout",IF(X132="","Add economics",IF(N(Y132)&lt;'KPI Benchmarks'!$D$12,"Economics","Healthy – scale")))))))))</f>
        <v/>
      </c>
      <c r="AA132" s="27">
        <f>IF(Z132="","",IF(Z132="Healthy – scale","All stages pass. Add $10–20/day or a new audience; test new creatives beside the main campaign.",IF(Z132="Add economics","Add this client to Client Economics.",IFERROR(INDEX('KPI Benchmarks'!$G$5:$G$12,MATCH(Z132,'KPI Benchmarks'!$A$5:$A$12,0)),""))))</f>
        <v/>
      </c>
      <c r="AB132" s="13" t="n"/>
    </row>
    <row r="133">
      <c r="A133" s="14" t="n"/>
      <c r="B133" s="13" t="n"/>
      <c r="C133" s="34" t="n"/>
      <c r="D133" s="40" t="n"/>
      <c r="E133" s="40" t="n"/>
      <c r="F133" s="40" t="n"/>
      <c r="G133" s="40" t="n"/>
      <c r="H133" s="40" t="n"/>
      <c r="I133" s="40" t="n"/>
      <c r="J133" s="40" t="n"/>
      <c r="K133" s="34" t="n"/>
      <c r="L133" s="36">
        <f>IFERROR(C133/D133*1000,"")</f>
        <v/>
      </c>
      <c r="M133" s="41">
        <f>IFERROR(E133/D133,"")</f>
        <v/>
      </c>
      <c r="N133" s="41">
        <f>IFERROR(F133/D133,"")</f>
        <v/>
      </c>
      <c r="O133" s="42">
        <f>IFERROR(N133/M133,"")</f>
        <v/>
      </c>
      <c r="P133" s="36">
        <f>IFERROR(C133/F133,"")</f>
        <v/>
      </c>
      <c r="Q133" s="42">
        <f>IFERROR(G133/F133,"")</f>
        <v/>
      </c>
      <c r="R133" s="43">
        <f>IFERROR(H133/G133,"")</f>
        <v/>
      </c>
      <c r="S133" s="42">
        <f>IFERROR(I133/H133,"")</f>
        <v/>
      </c>
      <c r="T133" s="42">
        <f>IFERROR(J133/I133,"")</f>
        <v/>
      </c>
      <c r="U133" s="37">
        <f>IFERROR(K133/C133,"")</f>
        <v/>
      </c>
      <c r="V133" s="36">
        <f>IFERROR(C133/J133,"")</f>
        <v/>
      </c>
      <c r="W133" s="36">
        <f>IFERROR(K133/J133,"")</f>
        <v/>
      </c>
      <c r="X133" s="37">
        <f>IFERROR(INDEX('Client Economics'!$J$5:$J$34,MATCH(B133,'Client Economics'!$A$5:$A$34,0)),"")</f>
        <v/>
      </c>
      <c r="Y133" s="37">
        <f>IFERROR(U133/X133,"")</f>
        <v/>
      </c>
      <c r="Z133" s="44">
        <f>IF(D133="","",IF(N(M133)&lt;'KPI Benchmarks'!$D$5,"Attention",IF(N(O133)&lt;'KPI Benchmarks'!$D$6,"Interest",IF(N(Q133)&lt;'KPI Benchmarks'!$D$8,"Page load",IF(N(R133)&lt;'KPI Benchmarks'!$D$9,"Buying intent",IF(N(S133)&lt;'KPI Benchmarks'!$D$10,"Cart",IF(N(T133)&lt;'KPI Benchmarks'!$D$11,"Checkout",IF(X133="","Add economics",IF(N(Y133)&lt;'KPI Benchmarks'!$D$12,"Economics","Healthy – scale")))))))))</f>
        <v/>
      </c>
      <c r="AA133" s="27">
        <f>IF(Z133="","",IF(Z133="Healthy – scale","All stages pass. Add $10–20/day or a new audience; test new creatives beside the main campaign.",IF(Z133="Add economics","Add this client to Client Economics.",IFERROR(INDEX('KPI Benchmarks'!$G$5:$G$12,MATCH(Z133,'KPI Benchmarks'!$A$5:$A$12,0)),""))))</f>
        <v/>
      </c>
      <c r="AB133" s="13" t="n"/>
    </row>
    <row r="134">
      <c r="A134" s="14" t="n"/>
      <c r="B134" s="13" t="n"/>
      <c r="C134" s="34" t="n"/>
      <c r="D134" s="40" t="n"/>
      <c r="E134" s="40" t="n"/>
      <c r="F134" s="40" t="n"/>
      <c r="G134" s="40" t="n"/>
      <c r="H134" s="40" t="n"/>
      <c r="I134" s="40" t="n"/>
      <c r="J134" s="40" t="n"/>
      <c r="K134" s="34" t="n"/>
      <c r="L134" s="36">
        <f>IFERROR(C134/D134*1000,"")</f>
        <v/>
      </c>
      <c r="M134" s="41">
        <f>IFERROR(E134/D134,"")</f>
        <v/>
      </c>
      <c r="N134" s="41">
        <f>IFERROR(F134/D134,"")</f>
        <v/>
      </c>
      <c r="O134" s="42">
        <f>IFERROR(N134/M134,"")</f>
        <v/>
      </c>
      <c r="P134" s="36">
        <f>IFERROR(C134/F134,"")</f>
        <v/>
      </c>
      <c r="Q134" s="42">
        <f>IFERROR(G134/F134,"")</f>
        <v/>
      </c>
      <c r="R134" s="43">
        <f>IFERROR(H134/G134,"")</f>
        <v/>
      </c>
      <c r="S134" s="42">
        <f>IFERROR(I134/H134,"")</f>
        <v/>
      </c>
      <c r="T134" s="42">
        <f>IFERROR(J134/I134,"")</f>
        <v/>
      </c>
      <c r="U134" s="37">
        <f>IFERROR(K134/C134,"")</f>
        <v/>
      </c>
      <c r="V134" s="36">
        <f>IFERROR(C134/J134,"")</f>
        <v/>
      </c>
      <c r="W134" s="36">
        <f>IFERROR(K134/J134,"")</f>
        <v/>
      </c>
      <c r="X134" s="37">
        <f>IFERROR(INDEX('Client Economics'!$J$5:$J$34,MATCH(B134,'Client Economics'!$A$5:$A$34,0)),"")</f>
        <v/>
      </c>
      <c r="Y134" s="37">
        <f>IFERROR(U134/X134,"")</f>
        <v/>
      </c>
      <c r="Z134" s="44">
        <f>IF(D134="","",IF(N(M134)&lt;'KPI Benchmarks'!$D$5,"Attention",IF(N(O134)&lt;'KPI Benchmarks'!$D$6,"Interest",IF(N(Q134)&lt;'KPI Benchmarks'!$D$8,"Page load",IF(N(R134)&lt;'KPI Benchmarks'!$D$9,"Buying intent",IF(N(S134)&lt;'KPI Benchmarks'!$D$10,"Cart",IF(N(T134)&lt;'KPI Benchmarks'!$D$11,"Checkout",IF(X134="","Add economics",IF(N(Y134)&lt;'KPI Benchmarks'!$D$12,"Economics","Healthy – scale")))))))))</f>
        <v/>
      </c>
      <c r="AA134" s="27">
        <f>IF(Z134="","",IF(Z134="Healthy – scale","All stages pass. Add $10–20/day or a new audience; test new creatives beside the main campaign.",IF(Z134="Add economics","Add this client to Client Economics.",IFERROR(INDEX('KPI Benchmarks'!$G$5:$G$12,MATCH(Z134,'KPI Benchmarks'!$A$5:$A$12,0)),""))))</f>
        <v/>
      </c>
      <c r="AB134" s="13" t="n"/>
    </row>
    <row r="135">
      <c r="A135" s="14" t="n"/>
      <c r="B135" s="13" t="n"/>
      <c r="C135" s="34" t="n"/>
      <c r="D135" s="40" t="n"/>
      <c r="E135" s="40" t="n"/>
      <c r="F135" s="40" t="n"/>
      <c r="G135" s="40" t="n"/>
      <c r="H135" s="40" t="n"/>
      <c r="I135" s="40" t="n"/>
      <c r="J135" s="40" t="n"/>
      <c r="K135" s="34" t="n"/>
      <c r="L135" s="36">
        <f>IFERROR(C135/D135*1000,"")</f>
        <v/>
      </c>
      <c r="M135" s="41">
        <f>IFERROR(E135/D135,"")</f>
        <v/>
      </c>
      <c r="N135" s="41">
        <f>IFERROR(F135/D135,"")</f>
        <v/>
      </c>
      <c r="O135" s="42">
        <f>IFERROR(N135/M135,"")</f>
        <v/>
      </c>
      <c r="P135" s="36">
        <f>IFERROR(C135/F135,"")</f>
        <v/>
      </c>
      <c r="Q135" s="42">
        <f>IFERROR(G135/F135,"")</f>
        <v/>
      </c>
      <c r="R135" s="43">
        <f>IFERROR(H135/G135,"")</f>
        <v/>
      </c>
      <c r="S135" s="42">
        <f>IFERROR(I135/H135,"")</f>
        <v/>
      </c>
      <c r="T135" s="42">
        <f>IFERROR(J135/I135,"")</f>
        <v/>
      </c>
      <c r="U135" s="37">
        <f>IFERROR(K135/C135,"")</f>
        <v/>
      </c>
      <c r="V135" s="36">
        <f>IFERROR(C135/J135,"")</f>
        <v/>
      </c>
      <c r="W135" s="36">
        <f>IFERROR(K135/J135,"")</f>
        <v/>
      </c>
      <c r="X135" s="37">
        <f>IFERROR(INDEX('Client Economics'!$J$5:$J$34,MATCH(B135,'Client Economics'!$A$5:$A$34,0)),"")</f>
        <v/>
      </c>
      <c r="Y135" s="37">
        <f>IFERROR(U135/X135,"")</f>
        <v/>
      </c>
      <c r="Z135" s="44">
        <f>IF(D135="","",IF(N(M135)&lt;'KPI Benchmarks'!$D$5,"Attention",IF(N(O135)&lt;'KPI Benchmarks'!$D$6,"Interest",IF(N(Q135)&lt;'KPI Benchmarks'!$D$8,"Page load",IF(N(R135)&lt;'KPI Benchmarks'!$D$9,"Buying intent",IF(N(S135)&lt;'KPI Benchmarks'!$D$10,"Cart",IF(N(T135)&lt;'KPI Benchmarks'!$D$11,"Checkout",IF(X135="","Add economics",IF(N(Y135)&lt;'KPI Benchmarks'!$D$12,"Economics","Healthy – scale")))))))))</f>
        <v/>
      </c>
      <c r="AA135" s="27">
        <f>IF(Z135="","",IF(Z135="Healthy – scale","All stages pass. Add $10–20/day or a new audience; test new creatives beside the main campaign.",IF(Z135="Add economics","Add this client to Client Economics.",IFERROR(INDEX('KPI Benchmarks'!$G$5:$G$12,MATCH(Z135,'KPI Benchmarks'!$A$5:$A$12,0)),""))))</f>
        <v/>
      </c>
      <c r="AB135" s="13" t="n"/>
    </row>
    <row r="136">
      <c r="A136" s="14" t="n"/>
      <c r="B136" s="13" t="n"/>
      <c r="C136" s="34" t="n"/>
      <c r="D136" s="40" t="n"/>
      <c r="E136" s="40" t="n"/>
      <c r="F136" s="40" t="n"/>
      <c r="G136" s="40" t="n"/>
      <c r="H136" s="40" t="n"/>
      <c r="I136" s="40" t="n"/>
      <c r="J136" s="40" t="n"/>
      <c r="K136" s="34" t="n"/>
      <c r="L136" s="36">
        <f>IFERROR(C136/D136*1000,"")</f>
        <v/>
      </c>
      <c r="M136" s="41">
        <f>IFERROR(E136/D136,"")</f>
        <v/>
      </c>
      <c r="N136" s="41">
        <f>IFERROR(F136/D136,"")</f>
        <v/>
      </c>
      <c r="O136" s="42">
        <f>IFERROR(N136/M136,"")</f>
        <v/>
      </c>
      <c r="P136" s="36">
        <f>IFERROR(C136/F136,"")</f>
        <v/>
      </c>
      <c r="Q136" s="42">
        <f>IFERROR(G136/F136,"")</f>
        <v/>
      </c>
      <c r="R136" s="43">
        <f>IFERROR(H136/G136,"")</f>
        <v/>
      </c>
      <c r="S136" s="42">
        <f>IFERROR(I136/H136,"")</f>
        <v/>
      </c>
      <c r="T136" s="42">
        <f>IFERROR(J136/I136,"")</f>
        <v/>
      </c>
      <c r="U136" s="37">
        <f>IFERROR(K136/C136,"")</f>
        <v/>
      </c>
      <c r="V136" s="36">
        <f>IFERROR(C136/J136,"")</f>
        <v/>
      </c>
      <c r="W136" s="36">
        <f>IFERROR(K136/J136,"")</f>
        <v/>
      </c>
      <c r="X136" s="37">
        <f>IFERROR(INDEX('Client Economics'!$J$5:$J$34,MATCH(B136,'Client Economics'!$A$5:$A$34,0)),"")</f>
        <v/>
      </c>
      <c r="Y136" s="37">
        <f>IFERROR(U136/X136,"")</f>
        <v/>
      </c>
      <c r="Z136" s="44">
        <f>IF(D136="","",IF(N(M136)&lt;'KPI Benchmarks'!$D$5,"Attention",IF(N(O136)&lt;'KPI Benchmarks'!$D$6,"Interest",IF(N(Q136)&lt;'KPI Benchmarks'!$D$8,"Page load",IF(N(R136)&lt;'KPI Benchmarks'!$D$9,"Buying intent",IF(N(S136)&lt;'KPI Benchmarks'!$D$10,"Cart",IF(N(T136)&lt;'KPI Benchmarks'!$D$11,"Checkout",IF(X136="","Add economics",IF(N(Y136)&lt;'KPI Benchmarks'!$D$12,"Economics","Healthy – scale")))))))))</f>
        <v/>
      </c>
      <c r="AA136" s="27">
        <f>IF(Z136="","",IF(Z136="Healthy – scale","All stages pass. Add $10–20/day or a new audience; test new creatives beside the main campaign.",IF(Z136="Add economics","Add this client to Client Economics.",IFERROR(INDEX('KPI Benchmarks'!$G$5:$G$12,MATCH(Z136,'KPI Benchmarks'!$A$5:$A$12,0)),""))))</f>
        <v/>
      </c>
      <c r="AB136" s="13" t="n"/>
    </row>
    <row r="137">
      <c r="A137" s="14" t="n"/>
      <c r="B137" s="13" t="n"/>
      <c r="C137" s="34" t="n"/>
      <c r="D137" s="40" t="n"/>
      <c r="E137" s="40" t="n"/>
      <c r="F137" s="40" t="n"/>
      <c r="G137" s="40" t="n"/>
      <c r="H137" s="40" t="n"/>
      <c r="I137" s="40" t="n"/>
      <c r="J137" s="40" t="n"/>
      <c r="K137" s="34" t="n"/>
      <c r="L137" s="36">
        <f>IFERROR(C137/D137*1000,"")</f>
        <v/>
      </c>
      <c r="M137" s="41">
        <f>IFERROR(E137/D137,"")</f>
        <v/>
      </c>
      <c r="N137" s="41">
        <f>IFERROR(F137/D137,"")</f>
        <v/>
      </c>
      <c r="O137" s="42">
        <f>IFERROR(N137/M137,"")</f>
        <v/>
      </c>
      <c r="P137" s="36">
        <f>IFERROR(C137/F137,"")</f>
        <v/>
      </c>
      <c r="Q137" s="42">
        <f>IFERROR(G137/F137,"")</f>
        <v/>
      </c>
      <c r="R137" s="43">
        <f>IFERROR(H137/G137,"")</f>
        <v/>
      </c>
      <c r="S137" s="42">
        <f>IFERROR(I137/H137,"")</f>
        <v/>
      </c>
      <c r="T137" s="42">
        <f>IFERROR(J137/I137,"")</f>
        <v/>
      </c>
      <c r="U137" s="37">
        <f>IFERROR(K137/C137,"")</f>
        <v/>
      </c>
      <c r="V137" s="36">
        <f>IFERROR(C137/J137,"")</f>
        <v/>
      </c>
      <c r="W137" s="36">
        <f>IFERROR(K137/J137,"")</f>
        <v/>
      </c>
      <c r="X137" s="37">
        <f>IFERROR(INDEX('Client Economics'!$J$5:$J$34,MATCH(B137,'Client Economics'!$A$5:$A$34,0)),"")</f>
        <v/>
      </c>
      <c r="Y137" s="37">
        <f>IFERROR(U137/X137,"")</f>
        <v/>
      </c>
      <c r="Z137" s="44">
        <f>IF(D137="","",IF(N(M137)&lt;'KPI Benchmarks'!$D$5,"Attention",IF(N(O137)&lt;'KPI Benchmarks'!$D$6,"Interest",IF(N(Q137)&lt;'KPI Benchmarks'!$D$8,"Page load",IF(N(R137)&lt;'KPI Benchmarks'!$D$9,"Buying intent",IF(N(S137)&lt;'KPI Benchmarks'!$D$10,"Cart",IF(N(T137)&lt;'KPI Benchmarks'!$D$11,"Checkout",IF(X137="","Add economics",IF(N(Y137)&lt;'KPI Benchmarks'!$D$12,"Economics","Healthy – scale")))))))))</f>
        <v/>
      </c>
      <c r="AA137" s="27">
        <f>IF(Z137="","",IF(Z137="Healthy – scale","All stages pass. Add $10–20/day or a new audience; test new creatives beside the main campaign.",IF(Z137="Add economics","Add this client to Client Economics.",IFERROR(INDEX('KPI Benchmarks'!$G$5:$G$12,MATCH(Z137,'KPI Benchmarks'!$A$5:$A$12,0)),""))))</f>
        <v/>
      </c>
      <c r="AB137" s="13" t="n"/>
    </row>
    <row r="138">
      <c r="A138" s="14" t="n"/>
      <c r="B138" s="13" t="n"/>
      <c r="C138" s="34" t="n"/>
      <c r="D138" s="40" t="n"/>
      <c r="E138" s="40" t="n"/>
      <c r="F138" s="40" t="n"/>
      <c r="G138" s="40" t="n"/>
      <c r="H138" s="40" t="n"/>
      <c r="I138" s="40" t="n"/>
      <c r="J138" s="40" t="n"/>
      <c r="K138" s="34" t="n"/>
      <c r="L138" s="36">
        <f>IFERROR(C138/D138*1000,"")</f>
        <v/>
      </c>
      <c r="M138" s="41">
        <f>IFERROR(E138/D138,"")</f>
        <v/>
      </c>
      <c r="N138" s="41">
        <f>IFERROR(F138/D138,"")</f>
        <v/>
      </c>
      <c r="O138" s="42">
        <f>IFERROR(N138/M138,"")</f>
        <v/>
      </c>
      <c r="P138" s="36">
        <f>IFERROR(C138/F138,"")</f>
        <v/>
      </c>
      <c r="Q138" s="42">
        <f>IFERROR(G138/F138,"")</f>
        <v/>
      </c>
      <c r="R138" s="43">
        <f>IFERROR(H138/G138,"")</f>
        <v/>
      </c>
      <c r="S138" s="42">
        <f>IFERROR(I138/H138,"")</f>
        <v/>
      </c>
      <c r="T138" s="42">
        <f>IFERROR(J138/I138,"")</f>
        <v/>
      </c>
      <c r="U138" s="37">
        <f>IFERROR(K138/C138,"")</f>
        <v/>
      </c>
      <c r="V138" s="36">
        <f>IFERROR(C138/J138,"")</f>
        <v/>
      </c>
      <c r="W138" s="36">
        <f>IFERROR(K138/J138,"")</f>
        <v/>
      </c>
      <c r="X138" s="37">
        <f>IFERROR(INDEX('Client Economics'!$J$5:$J$34,MATCH(B138,'Client Economics'!$A$5:$A$34,0)),"")</f>
        <v/>
      </c>
      <c r="Y138" s="37">
        <f>IFERROR(U138/X138,"")</f>
        <v/>
      </c>
      <c r="Z138" s="44">
        <f>IF(D138="","",IF(N(M138)&lt;'KPI Benchmarks'!$D$5,"Attention",IF(N(O138)&lt;'KPI Benchmarks'!$D$6,"Interest",IF(N(Q138)&lt;'KPI Benchmarks'!$D$8,"Page load",IF(N(R138)&lt;'KPI Benchmarks'!$D$9,"Buying intent",IF(N(S138)&lt;'KPI Benchmarks'!$D$10,"Cart",IF(N(T138)&lt;'KPI Benchmarks'!$D$11,"Checkout",IF(X138="","Add economics",IF(N(Y138)&lt;'KPI Benchmarks'!$D$12,"Economics","Healthy – scale")))))))))</f>
        <v/>
      </c>
      <c r="AA138" s="27">
        <f>IF(Z138="","",IF(Z138="Healthy – scale","All stages pass. Add $10–20/day or a new audience; test new creatives beside the main campaign.",IF(Z138="Add economics","Add this client to Client Economics.",IFERROR(INDEX('KPI Benchmarks'!$G$5:$G$12,MATCH(Z138,'KPI Benchmarks'!$A$5:$A$12,0)),""))))</f>
        <v/>
      </c>
      <c r="AB138" s="13" t="n"/>
    </row>
    <row r="139">
      <c r="A139" s="14" t="n"/>
      <c r="B139" s="13" t="n"/>
      <c r="C139" s="34" t="n"/>
      <c r="D139" s="40" t="n"/>
      <c r="E139" s="40" t="n"/>
      <c r="F139" s="40" t="n"/>
      <c r="G139" s="40" t="n"/>
      <c r="H139" s="40" t="n"/>
      <c r="I139" s="40" t="n"/>
      <c r="J139" s="40" t="n"/>
      <c r="K139" s="34" t="n"/>
      <c r="L139" s="36">
        <f>IFERROR(C139/D139*1000,"")</f>
        <v/>
      </c>
      <c r="M139" s="41">
        <f>IFERROR(E139/D139,"")</f>
        <v/>
      </c>
      <c r="N139" s="41">
        <f>IFERROR(F139/D139,"")</f>
        <v/>
      </c>
      <c r="O139" s="42">
        <f>IFERROR(N139/M139,"")</f>
        <v/>
      </c>
      <c r="P139" s="36">
        <f>IFERROR(C139/F139,"")</f>
        <v/>
      </c>
      <c r="Q139" s="42">
        <f>IFERROR(G139/F139,"")</f>
        <v/>
      </c>
      <c r="R139" s="43">
        <f>IFERROR(H139/G139,"")</f>
        <v/>
      </c>
      <c r="S139" s="42">
        <f>IFERROR(I139/H139,"")</f>
        <v/>
      </c>
      <c r="T139" s="42">
        <f>IFERROR(J139/I139,"")</f>
        <v/>
      </c>
      <c r="U139" s="37">
        <f>IFERROR(K139/C139,"")</f>
        <v/>
      </c>
      <c r="V139" s="36">
        <f>IFERROR(C139/J139,"")</f>
        <v/>
      </c>
      <c r="W139" s="36">
        <f>IFERROR(K139/J139,"")</f>
        <v/>
      </c>
      <c r="X139" s="37">
        <f>IFERROR(INDEX('Client Economics'!$J$5:$J$34,MATCH(B139,'Client Economics'!$A$5:$A$34,0)),"")</f>
        <v/>
      </c>
      <c r="Y139" s="37">
        <f>IFERROR(U139/X139,"")</f>
        <v/>
      </c>
      <c r="Z139" s="44">
        <f>IF(D139="","",IF(N(M139)&lt;'KPI Benchmarks'!$D$5,"Attention",IF(N(O139)&lt;'KPI Benchmarks'!$D$6,"Interest",IF(N(Q139)&lt;'KPI Benchmarks'!$D$8,"Page load",IF(N(R139)&lt;'KPI Benchmarks'!$D$9,"Buying intent",IF(N(S139)&lt;'KPI Benchmarks'!$D$10,"Cart",IF(N(T139)&lt;'KPI Benchmarks'!$D$11,"Checkout",IF(X139="","Add economics",IF(N(Y139)&lt;'KPI Benchmarks'!$D$12,"Economics","Healthy – scale")))))))))</f>
        <v/>
      </c>
      <c r="AA139" s="27">
        <f>IF(Z139="","",IF(Z139="Healthy – scale","All stages pass. Add $10–20/day or a new audience; test new creatives beside the main campaign.",IF(Z139="Add economics","Add this client to Client Economics.",IFERROR(INDEX('KPI Benchmarks'!$G$5:$G$12,MATCH(Z139,'KPI Benchmarks'!$A$5:$A$12,0)),""))))</f>
        <v/>
      </c>
      <c r="AB139" s="13" t="n"/>
    </row>
    <row r="140">
      <c r="A140" s="14" t="n"/>
      <c r="B140" s="13" t="n"/>
      <c r="C140" s="34" t="n"/>
      <c r="D140" s="40" t="n"/>
      <c r="E140" s="40" t="n"/>
      <c r="F140" s="40" t="n"/>
      <c r="G140" s="40" t="n"/>
      <c r="H140" s="40" t="n"/>
      <c r="I140" s="40" t="n"/>
      <c r="J140" s="40" t="n"/>
      <c r="K140" s="34" t="n"/>
      <c r="L140" s="36">
        <f>IFERROR(C140/D140*1000,"")</f>
        <v/>
      </c>
      <c r="M140" s="41">
        <f>IFERROR(E140/D140,"")</f>
        <v/>
      </c>
      <c r="N140" s="41">
        <f>IFERROR(F140/D140,"")</f>
        <v/>
      </c>
      <c r="O140" s="42">
        <f>IFERROR(N140/M140,"")</f>
        <v/>
      </c>
      <c r="P140" s="36">
        <f>IFERROR(C140/F140,"")</f>
        <v/>
      </c>
      <c r="Q140" s="42">
        <f>IFERROR(G140/F140,"")</f>
        <v/>
      </c>
      <c r="R140" s="43">
        <f>IFERROR(H140/G140,"")</f>
        <v/>
      </c>
      <c r="S140" s="42">
        <f>IFERROR(I140/H140,"")</f>
        <v/>
      </c>
      <c r="T140" s="42">
        <f>IFERROR(J140/I140,"")</f>
        <v/>
      </c>
      <c r="U140" s="37">
        <f>IFERROR(K140/C140,"")</f>
        <v/>
      </c>
      <c r="V140" s="36">
        <f>IFERROR(C140/J140,"")</f>
        <v/>
      </c>
      <c r="W140" s="36">
        <f>IFERROR(K140/J140,"")</f>
        <v/>
      </c>
      <c r="X140" s="37">
        <f>IFERROR(INDEX('Client Economics'!$J$5:$J$34,MATCH(B140,'Client Economics'!$A$5:$A$34,0)),"")</f>
        <v/>
      </c>
      <c r="Y140" s="37">
        <f>IFERROR(U140/X140,"")</f>
        <v/>
      </c>
      <c r="Z140" s="44">
        <f>IF(D140="","",IF(N(M140)&lt;'KPI Benchmarks'!$D$5,"Attention",IF(N(O140)&lt;'KPI Benchmarks'!$D$6,"Interest",IF(N(Q140)&lt;'KPI Benchmarks'!$D$8,"Page load",IF(N(R140)&lt;'KPI Benchmarks'!$D$9,"Buying intent",IF(N(S140)&lt;'KPI Benchmarks'!$D$10,"Cart",IF(N(T140)&lt;'KPI Benchmarks'!$D$11,"Checkout",IF(X140="","Add economics",IF(N(Y140)&lt;'KPI Benchmarks'!$D$12,"Economics","Healthy – scale")))))))))</f>
        <v/>
      </c>
      <c r="AA140" s="27">
        <f>IF(Z140="","",IF(Z140="Healthy – scale","All stages pass. Add $10–20/day or a new audience; test new creatives beside the main campaign.",IF(Z140="Add economics","Add this client to Client Economics.",IFERROR(INDEX('KPI Benchmarks'!$G$5:$G$12,MATCH(Z140,'KPI Benchmarks'!$A$5:$A$12,0)),""))))</f>
        <v/>
      </c>
      <c r="AB140" s="13" t="n"/>
    </row>
    <row r="141">
      <c r="A141" s="14" t="n"/>
      <c r="B141" s="13" t="n"/>
      <c r="C141" s="34" t="n"/>
      <c r="D141" s="40" t="n"/>
      <c r="E141" s="40" t="n"/>
      <c r="F141" s="40" t="n"/>
      <c r="G141" s="40" t="n"/>
      <c r="H141" s="40" t="n"/>
      <c r="I141" s="40" t="n"/>
      <c r="J141" s="40" t="n"/>
      <c r="K141" s="34" t="n"/>
      <c r="L141" s="36">
        <f>IFERROR(C141/D141*1000,"")</f>
        <v/>
      </c>
      <c r="M141" s="41">
        <f>IFERROR(E141/D141,"")</f>
        <v/>
      </c>
      <c r="N141" s="41">
        <f>IFERROR(F141/D141,"")</f>
        <v/>
      </c>
      <c r="O141" s="42">
        <f>IFERROR(N141/M141,"")</f>
        <v/>
      </c>
      <c r="P141" s="36">
        <f>IFERROR(C141/F141,"")</f>
        <v/>
      </c>
      <c r="Q141" s="42">
        <f>IFERROR(G141/F141,"")</f>
        <v/>
      </c>
      <c r="R141" s="43">
        <f>IFERROR(H141/G141,"")</f>
        <v/>
      </c>
      <c r="S141" s="42">
        <f>IFERROR(I141/H141,"")</f>
        <v/>
      </c>
      <c r="T141" s="42">
        <f>IFERROR(J141/I141,"")</f>
        <v/>
      </c>
      <c r="U141" s="37">
        <f>IFERROR(K141/C141,"")</f>
        <v/>
      </c>
      <c r="V141" s="36">
        <f>IFERROR(C141/J141,"")</f>
        <v/>
      </c>
      <c r="W141" s="36">
        <f>IFERROR(K141/J141,"")</f>
        <v/>
      </c>
      <c r="X141" s="37">
        <f>IFERROR(INDEX('Client Economics'!$J$5:$J$34,MATCH(B141,'Client Economics'!$A$5:$A$34,0)),"")</f>
        <v/>
      </c>
      <c r="Y141" s="37">
        <f>IFERROR(U141/X141,"")</f>
        <v/>
      </c>
      <c r="Z141" s="44">
        <f>IF(D141="","",IF(N(M141)&lt;'KPI Benchmarks'!$D$5,"Attention",IF(N(O141)&lt;'KPI Benchmarks'!$D$6,"Interest",IF(N(Q141)&lt;'KPI Benchmarks'!$D$8,"Page load",IF(N(R141)&lt;'KPI Benchmarks'!$D$9,"Buying intent",IF(N(S141)&lt;'KPI Benchmarks'!$D$10,"Cart",IF(N(T141)&lt;'KPI Benchmarks'!$D$11,"Checkout",IF(X141="","Add economics",IF(N(Y141)&lt;'KPI Benchmarks'!$D$12,"Economics","Healthy – scale")))))))))</f>
        <v/>
      </c>
      <c r="AA141" s="27">
        <f>IF(Z141="","",IF(Z141="Healthy – scale","All stages pass. Add $10–20/day or a new audience; test new creatives beside the main campaign.",IF(Z141="Add economics","Add this client to Client Economics.",IFERROR(INDEX('KPI Benchmarks'!$G$5:$G$12,MATCH(Z141,'KPI Benchmarks'!$A$5:$A$12,0)),""))))</f>
        <v/>
      </c>
      <c r="AB141" s="13" t="n"/>
    </row>
    <row r="142">
      <c r="A142" s="14" t="n"/>
      <c r="B142" s="13" t="n"/>
      <c r="C142" s="34" t="n"/>
      <c r="D142" s="40" t="n"/>
      <c r="E142" s="40" t="n"/>
      <c r="F142" s="40" t="n"/>
      <c r="G142" s="40" t="n"/>
      <c r="H142" s="40" t="n"/>
      <c r="I142" s="40" t="n"/>
      <c r="J142" s="40" t="n"/>
      <c r="K142" s="34" t="n"/>
      <c r="L142" s="36">
        <f>IFERROR(C142/D142*1000,"")</f>
        <v/>
      </c>
      <c r="M142" s="41">
        <f>IFERROR(E142/D142,"")</f>
        <v/>
      </c>
      <c r="N142" s="41">
        <f>IFERROR(F142/D142,"")</f>
        <v/>
      </c>
      <c r="O142" s="42">
        <f>IFERROR(N142/M142,"")</f>
        <v/>
      </c>
      <c r="P142" s="36">
        <f>IFERROR(C142/F142,"")</f>
        <v/>
      </c>
      <c r="Q142" s="42">
        <f>IFERROR(G142/F142,"")</f>
        <v/>
      </c>
      <c r="R142" s="43">
        <f>IFERROR(H142/G142,"")</f>
        <v/>
      </c>
      <c r="S142" s="42">
        <f>IFERROR(I142/H142,"")</f>
        <v/>
      </c>
      <c r="T142" s="42">
        <f>IFERROR(J142/I142,"")</f>
        <v/>
      </c>
      <c r="U142" s="37">
        <f>IFERROR(K142/C142,"")</f>
        <v/>
      </c>
      <c r="V142" s="36">
        <f>IFERROR(C142/J142,"")</f>
        <v/>
      </c>
      <c r="W142" s="36">
        <f>IFERROR(K142/J142,"")</f>
        <v/>
      </c>
      <c r="X142" s="37">
        <f>IFERROR(INDEX('Client Economics'!$J$5:$J$34,MATCH(B142,'Client Economics'!$A$5:$A$34,0)),"")</f>
        <v/>
      </c>
      <c r="Y142" s="37">
        <f>IFERROR(U142/X142,"")</f>
        <v/>
      </c>
      <c r="Z142" s="44">
        <f>IF(D142="","",IF(N(M142)&lt;'KPI Benchmarks'!$D$5,"Attention",IF(N(O142)&lt;'KPI Benchmarks'!$D$6,"Interest",IF(N(Q142)&lt;'KPI Benchmarks'!$D$8,"Page load",IF(N(R142)&lt;'KPI Benchmarks'!$D$9,"Buying intent",IF(N(S142)&lt;'KPI Benchmarks'!$D$10,"Cart",IF(N(T142)&lt;'KPI Benchmarks'!$D$11,"Checkout",IF(X142="","Add economics",IF(N(Y142)&lt;'KPI Benchmarks'!$D$12,"Economics","Healthy – scale")))))))))</f>
        <v/>
      </c>
      <c r="AA142" s="27">
        <f>IF(Z142="","",IF(Z142="Healthy – scale","All stages pass. Add $10–20/day or a new audience; test new creatives beside the main campaign.",IF(Z142="Add economics","Add this client to Client Economics.",IFERROR(INDEX('KPI Benchmarks'!$G$5:$G$12,MATCH(Z142,'KPI Benchmarks'!$A$5:$A$12,0)),""))))</f>
        <v/>
      </c>
      <c r="AB142" s="13" t="n"/>
    </row>
    <row r="143">
      <c r="A143" s="14" t="n"/>
      <c r="B143" s="13" t="n"/>
      <c r="C143" s="34" t="n"/>
      <c r="D143" s="40" t="n"/>
      <c r="E143" s="40" t="n"/>
      <c r="F143" s="40" t="n"/>
      <c r="G143" s="40" t="n"/>
      <c r="H143" s="40" t="n"/>
      <c r="I143" s="40" t="n"/>
      <c r="J143" s="40" t="n"/>
      <c r="K143" s="34" t="n"/>
      <c r="L143" s="36">
        <f>IFERROR(C143/D143*1000,"")</f>
        <v/>
      </c>
      <c r="M143" s="41">
        <f>IFERROR(E143/D143,"")</f>
        <v/>
      </c>
      <c r="N143" s="41">
        <f>IFERROR(F143/D143,"")</f>
        <v/>
      </c>
      <c r="O143" s="42">
        <f>IFERROR(N143/M143,"")</f>
        <v/>
      </c>
      <c r="P143" s="36">
        <f>IFERROR(C143/F143,"")</f>
        <v/>
      </c>
      <c r="Q143" s="42">
        <f>IFERROR(G143/F143,"")</f>
        <v/>
      </c>
      <c r="R143" s="43">
        <f>IFERROR(H143/G143,"")</f>
        <v/>
      </c>
      <c r="S143" s="42">
        <f>IFERROR(I143/H143,"")</f>
        <v/>
      </c>
      <c r="T143" s="42">
        <f>IFERROR(J143/I143,"")</f>
        <v/>
      </c>
      <c r="U143" s="37">
        <f>IFERROR(K143/C143,"")</f>
        <v/>
      </c>
      <c r="V143" s="36">
        <f>IFERROR(C143/J143,"")</f>
        <v/>
      </c>
      <c r="W143" s="36">
        <f>IFERROR(K143/J143,"")</f>
        <v/>
      </c>
      <c r="X143" s="37">
        <f>IFERROR(INDEX('Client Economics'!$J$5:$J$34,MATCH(B143,'Client Economics'!$A$5:$A$34,0)),"")</f>
        <v/>
      </c>
      <c r="Y143" s="37">
        <f>IFERROR(U143/X143,"")</f>
        <v/>
      </c>
      <c r="Z143" s="44">
        <f>IF(D143="","",IF(N(M143)&lt;'KPI Benchmarks'!$D$5,"Attention",IF(N(O143)&lt;'KPI Benchmarks'!$D$6,"Interest",IF(N(Q143)&lt;'KPI Benchmarks'!$D$8,"Page load",IF(N(R143)&lt;'KPI Benchmarks'!$D$9,"Buying intent",IF(N(S143)&lt;'KPI Benchmarks'!$D$10,"Cart",IF(N(T143)&lt;'KPI Benchmarks'!$D$11,"Checkout",IF(X143="","Add economics",IF(N(Y143)&lt;'KPI Benchmarks'!$D$12,"Economics","Healthy – scale")))))))))</f>
        <v/>
      </c>
      <c r="AA143" s="27">
        <f>IF(Z143="","",IF(Z143="Healthy – scale","All stages pass. Add $10–20/day or a new audience; test new creatives beside the main campaign.",IF(Z143="Add economics","Add this client to Client Economics.",IFERROR(INDEX('KPI Benchmarks'!$G$5:$G$12,MATCH(Z143,'KPI Benchmarks'!$A$5:$A$12,0)),""))))</f>
        <v/>
      </c>
      <c r="AB143" s="13" t="n"/>
    </row>
    <row r="144">
      <c r="A144" s="14" t="n"/>
      <c r="B144" s="13" t="n"/>
      <c r="C144" s="34" t="n"/>
      <c r="D144" s="40" t="n"/>
      <c r="E144" s="40" t="n"/>
      <c r="F144" s="40" t="n"/>
      <c r="G144" s="40" t="n"/>
      <c r="H144" s="40" t="n"/>
      <c r="I144" s="40" t="n"/>
      <c r="J144" s="40" t="n"/>
      <c r="K144" s="34" t="n"/>
      <c r="L144" s="36">
        <f>IFERROR(C144/D144*1000,"")</f>
        <v/>
      </c>
      <c r="M144" s="41">
        <f>IFERROR(E144/D144,"")</f>
        <v/>
      </c>
      <c r="N144" s="41">
        <f>IFERROR(F144/D144,"")</f>
        <v/>
      </c>
      <c r="O144" s="42">
        <f>IFERROR(N144/M144,"")</f>
        <v/>
      </c>
      <c r="P144" s="36">
        <f>IFERROR(C144/F144,"")</f>
        <v/>
      </c>
      <c r="Q144" s="42">
        <f>IFERROR(G144/F144,"")</f>
        <v/>
      </c>
      <c r="R144" s="43">
        <f>IFERROR(H144/G144,"")</f>
        <v/>
      </c>
      <c r="S144" s="42">
        <f>IFERROR(I144/H144,"")</f>
        <v/>
      </c>
      <c r="T144" s="42">
        <f>IFERROR(J144/I144,"")</f>
        <v/>
      </c>
      <c r="U144" s="37">
        <f>IFERROR(K144/C144,"")</f>
        <v/>
      </c>
      <c r="V144" s="36">
        <f>IFERROR(C144/J144,"")</f>
        <v/>
      </c>
      <c r="W144" s="36">
        <f>IFERROR(K144/J144,"")</f>
        <v/>
      </c>
      <c r="X144" s="37">
        <f>IFERROR(INDEX('Client Economics'!$J$5:$J$34,MATCH(B144,'Client Economics'!$A$5:$A$34,0)),"")</f>
        <v/>
      </c>
      <c r="Y144" s="37">
        <f>IFERROR(U144/X144,"")</f>
        <v/>
      </c>
      <c r="Z144" s="44">
        <f>IF(D144="","",IF(N(M144)&lt;'KPI Benchmarks'!$D$5,"Attention",IF(N(O144)&lt;'KPI Benchmarks'!$D$6,"Interest",IF(N(Q144)&lt;'KPI Benchmarks'!$D$8,"Page load",IF(N(R144)&lt;'KPI Benchmarks'!$D$9,"Buying intent",IF(N(S144)&lt;'KPI Benchmarks'!$D$10,"Cart",IF(N(T144)&lt;'KPI Benchmarks'!$D$11,"Checkout",IF(X144="","Add economics",IF(N(Y144)&lt;'KPI Benchmarks'!$D$12,"Economics","Healthy – scale")))))))))</f>
        <v/>
      </c>
      <c r="AA144" s="27">
        <f>IF(Z144="","",IF(Z144="Healthy – scale","All stages pass. Add $10–20/day or a new audience; test new creatives beside the main campaign.",IF(Z144="Add economics","Add this client to Client Economics.",IFERROR(INDEX('KPI Benchmarks'!$G$5:$G$12,MATCH(Z144,'KPI Benchmarks'!$A$5:$A$12,0)),""))))</f>
        <v/>
      </c>
      <c r="AB144" s="13" t="n"/>
    </row>
    <row r="145">
      <c r="A145" s="14" t="n"/>
      <c r="B145" s="13" t="n"/>
      <c r="C145" s="34" t="n"/>
      <c r="D145" s="40" t="n"/>
      <c r="E145" s="40" t="n"/>
      <c r="F145" s="40" t="n"/>
      <c r="G145" s="40" t="n"/>
      <c r="H145" s="40" t="n"/>
      <c r="I145" s="40" t="n"/>
      <c r="J145" s="40" t="n"/>
      <c r="K145" s="34" t="n"/>
      <c r="L145" s="36">
        <f>IFERROR(C145/D145*1000,"")</f>
        <v/>
      </c>
      <c r="M145" s="41">
        <f>IFERROR(E145/D145,"")</f>
        <v/>
      </c>
      <c r="N145" s="41">
        <f>IFERROR(F145/D145,"")</f>
        <v/>
      </c>
      <c r="O145" s="42">
        <f>IFERROR(N145/M145,"")</f>
        <v/>
      </c>
      <c r="P145" s="36">
        <f>IFERROR(C145/F145,"")</f>
        <v/>
      </c>
      <c r="Q145" s="42">
        <f>IFERROR(G145/F145,"")</f>
        <v/>
      </c>
      <c r="R145" s="43">
        <f>IFERROR(H145/G145,"")</f>
        <v/>
      </c>
      <c r="S145" s="42">
        <f>IFERROR(I145/H145,"")</f>
        <v/>
      </c>
      <c r="T145" s="42">
        <f>IFERROR(J145/I145,"")</f>
        <v/>
      </c>
      <c r="U145" s="37">
        <f>IFERROR(K145/C145,"")</f>
        <v/>
      </c>
      <c r="V145" s="36">
        <f>IFERROR(C145/J145,"")</f>
        <v/>
      </c>
      <c r="W145" s="36">
        <f>IFERROR(K145/J145,"")</f>
        <v/>
      </c>
      <c r="X145" s="37">
        <f>IFERROR(INDEX('Client Economics'!$J$5:$J$34,MATCH(B145,'Client Economics'!$A$5:$A$34,0)),"")</f>
        <v/>
      </c>
      <c r="Y145" s="37">
        <f>IFERROR(U145/X145,"")</f>
        <v/>
      </c>
      <c r="Z145" s="44">
        <f>IF(D145="","",IF(N(M145)&lt;'KPI Benchmarks'!$D$5,"Attention",IF(N(O145)&lt;'KPI Benchmarks'!$D$6,"Interest",IF(N(Q145)&lt;'KPI Benchmarks'!$D$8,"Page load",IF(N(R145)&lt;'KPI Benchmarks'!$D$9,"Buying intent",IF(N(S145)&lt;'KPI Benchmarks'!$D$10,"Cart",IF(N(T145)&lt;'KPI Benchmarks'!$D$11,"Checkout",IF(X145="","Add economics",IF(N(Y145)&lt;'KPI Benchmarks'!$D$12,"Economics","Healthy – scale")))))))))</f>
        <v/>
      </c>
      <c r="AA145" s="27">
        <f>IF(Z145="","",IF(Z145="Healthy – scale","All stages pass. Add $10–20/day or a new audience; test new creatives beside the main campaign.",IF(Z145="Add economics","Add this client to Client Economics.",IFERROR(INDEX('KPI Benchmarks'!$G$5:$G$12,MATCH(Z145,'KPI Benchmarks'!$A$5:$A$12,0)),""))))</f>
        <v/>
      </c>
      <c r="AB145" s="13" t="n"/>
    </row>
    <row r="146">
      <c r="A146" s="14" t="n"/>
      <c r="B146" s="13" t="n"/>
      <c r="C146" s="34" t="n"/>
      <c r="D146" s="40" t="n"/>
      <c r="E146" s="40" t="n"/>
      <c r="F146" s="40" t="n"/>
      <c r="G146" s="40" t="n"/>
      <c r="H146" s="40" t="n"/>
      <c r="I146" s="40" t="n"/>
      <c r="J146" s="40" t="n"/>
      <c r="K146" s="34" t="n"/>
      <c r="L146" s="36">
        <f>IFERROR(C146/D146*1000,"")</f>
        <v/>
      </c>
      <c r="M146" s="41">
        <f>IFERROR(E146/D146,"")</f>
        <v/>
      </c>
      <c r="N146" s="41">
        <f>IFERROR(F146/D146,"")</f>
        <v/>
      </c>
      <c r="O146" s="42">
        <f>IFERROR(N146/M146,"")</f>
        <v/>
      </c>
      <c r="P146" s="36">
        <f>IFERROR(C146/F146,"")</f>
        <v/>
      </c>
      <c r="Q146" s="42">
        <f>IFERROR(G146/F146,"")</f>
        <v/>
      </c>
      <c r="R146" s="43">
        <f>IFERROR(H146/G146,"")</f>
        <v/>
      </c>
      <c r="S146" s="42">
        <f>IFERROR(I146/H146,"")</f>
        <v/>
      </c>
      <c r="T146" s="42">
        <f>IFERROR(J146/I146,"")</f>
        <v/>
      </c>
      <c r="U146" s="37">
        <f>IFERROR(K146/C146,"")</f>
        <v/>
      </c>
      <c r="V146" s="36">
        <f>IFERROR(C146/J146,"")</f>
        <v/>
      </c>
      <c r="W146" s="36">
        <f>IFERROR(K146/J146,"")</f>
        <v/>
      </c>
      <c r="X146" s="37">
        <f>IFERROR(INDEX('Client Economics'!$J$5:$J$34,MATCH(B146,'Client Economics'!$A$5:$A$34,0)),"")</f>
        <v/>
      </c>
      <c r="Y146" s="37">
        <f>IFERROR(U146/X146,"")</f>
        <v/>
      </c>
      <c r="Z146" s="44">
        <f>IF(D146="","",IF(N(M146)&lt;'KPI Benchmarks'!$D$5,"Attention",IF(N(O146)&lt;'KPI Benchmarks'!$D$6,"Interest",IF(N(Q146)&lt;'KPI Benchmarks'!$D$8,"Page load",IF(N(R146)&lt;'KPI Benchmarks'!$D$9,"Buying intent",IF(N(S146)&lt;'KPI Benchmarks'!$D$10,"Cart",IF(N(T146)&lt;'KPI Benchmarks'!$D$11,"Checkout",IF(X146="","Add economics",IF(N(Y146)&lt;'KPI Benchmarks'!$D$12,"Economics","Healthy – scale")))))))))</f>
        <v/>
      </c>
      <c r="AA146" s="27">
        <f>IF(Z146="","",IF(Z146="Healthy – scale","All stages pass. Add $10–20/day or a new audience; test new creatives beside the main campaign.",IF(Z146="Add economics","Add this client to Client Economics.",IFERROR(INDEX('KPI Benchmarks'!$G$5:$G$12,MATCH(Z146,'KPI Benchmarks'!$A$5:$A$12,0)),""))))</f>
        <v/>
      </c>
      <c r="AB146" s="13" t="n"/>
    </row>
    <row r="147">
      <c r="A147" s="14" t="n"/>
      <c r="B147" s="13" t="n"/>
      <c r="C147" s="34" t="n"/>
      <c r="D147" s="40" t="n"/>
      <c r="E147" s="40" t="n"/>
      <c r="F147" s="40" t="n"/>
      <c r="G147" s="40" t="n"/>
      <c r="H147" s="40" t="n"/>
      <c r="I147" s="40" t="n"/>
      <c r="J147" s="40" t="n"/>
      <c r="K147" s="34" t="n"/>
      <c r="L147" s="36">
        <f>IFERROR(C147/D147*1000,"")</f>
        <v/>
      </c>
      <c r="M147" s="41">
        <f>IFERROR(E147/D147,"")</f>
        <v/>
      </c>
      <c r="N147" s="41">
        <f>IFERROR(F147/D147,"")</f>
        <v/>
      </c>
      <c r="O147" s="42">
        <f>IFERROR(N147/M147,"")</f>
        <v/>
      </c>
      <c r="P147" s="36">
        <f>IFERROR(C147/F147,"")</f>
        <v/>
      </c>
      <c r="Q147" s="42">
        <f>IFERROR(G147/F147,"")</f>
        <v/>
      </c>
      <c r="R147" s="43">
        <f>IFERROR(H147/G147,"")</f>
        <v/>
      </c>
      <c r="S147" s="42">
        <f>IFERROR(I147/H147,"")</f>
        <v/>
      </c>
      <c r="T147" s="42">
        <f>IFERROR(J147/I147,"")</f>
        <v/>
      </c>
      <c r="U147" s="37">
        <f>IFERROR(K147/C147,"")</f>
        <v/>
      </c>
      <c r="V147" s="36">
        <f>IFERROR(C147/J147,"")</f>
        <v/>
      </c>
      <c r="W147" s="36">
        <f>IFERROR(K147/J147,"")</f>
        <v/>
      </c>
      <c r="X147" s="37">
        <f>IFERROR(INDEX('Client Economics'!$J$5:$J$34,MATCH(B147,'Client Economics'!$A$5:$A$34,0)),"")</f>
        <v/>
      </c>
      <c r="Y147" s="37">
        <f>IFERROR(U147/X147,"")</f>
        <v/>
      </c>
      <c r="Z147" s="44">
        <f>IF(D147="","",IF(N(M147)&lt;'KPI Benchmarks'!$D$5,"Attention",IF(N(O147)&lt;'KPI Benchmarks'!$D$6,"Interest",IF(N(Q147)&lt;'KPI Benchmarks'!$D$8,"Page load",IF(N(R147)&lt;'KPI Benchmarks'!$D$9,"Buying intent",IF(N(S147)&lt;'KPI Benchmarks'!$D$10,"Cart",IF(N(T147)&lt;'KPI Benchmarks'!$D$11,"Checkout",IF(X147="","Add economics",IF(N(Y147)&lt;'KPI Benchmarks'!$D$12,"Economics","Healthy – scale")))))))))</f>
        <v/>
      </c>
      <c r="AA147" s="27">
        <f>IF(Z147="","",IF(Z147="Healthy – scale","All stages pass. Add $10–20/day or a new audience; test new creatives beside the main campaign.",IF(Z147="Add economics","Add this client to Client Economics.",IFERROR(INDEX('KPI Benchmarks'!$G$5:$G$12,MATCH(Z147,'KPI Benchmarks'!$A$5:$A$12,0)),""))))</f>
        <v/>
      </c>
      <c r="AB147" s="13" t="n"/>
    </row>
    <row r="148">
      <c r="A148" s="14" t="n"/>
      <c r="B148" s="13" t="n"/>
      <c r="C148" s="34" t="n"/>
      <c r="D148" s="40" t="n"/>
      <c r="E148" s="40" t="n"/>
      <c r="F148" s="40" t="n"/>
      <c r="G148" s="40" t="n"/>
      <c r="H148" s="40" t="n"/>
      <c r="I148" s="40" t="n"/>
      <c r="J148" s="40" t="n"/>
      <c r="K148" s="34" t="n"/>
      <c r="L148" s="36">
        <f>IFERROR(C148/D148*1000,"")</f>
        <v/>
      </c>
      <c r="M148" s="41">
        <f>IFERROR(E148/D148,"")</f>
        <v/>
      </c>
      <c r="N148" s="41">
        <f>IFERROR(F148/D148,"")</f>
        <v/>
      </c>
      <c r="O148" s="42">
        <f>IFERROR(N148/M148,"")</f>
        <v/>
      </c>
      <c r="P148" s="36">
        <f>IFERROR(C148/F148,"")</f>
        <v/>
      </c>
      <c r="Q148" s="42">
        <f>IFERROR(G148/F148,"")</f>
        <v/>
      </c>
      <c r="R148" s="43">
        <f>IFERROR(H148/G148,"")</f>
        <v/>
      </c>
      <c r="S148" s="42">
        <f>IFERROR(I148/H148,"")</f>
        <v/>
      </c>
      <c r="T148" s="42">
        <f>IFERROR(J148/I148,"")</f>
        <v/>
      </c>
      <c r="U148" s="37">
        <f>IFERROR(K148/C148,"")</f>
        <v/>
      </c>
      <c r="V148" s="36">
        <f>IFERROR(C148/J148,"")</f>
        <v/>
      </c>
      <c r="W148" s="36">
        <f>IFERROR(K148/J148,"")</f>
        <v/>
      </c>
      <c r="X148" s="37">
        <f>IFERROR(INDEX('Client Economics'!$J$5:$J$34,MATCH(B148,'Client Economics'!$A$5:$A$34,0)),"")</f>
        <v/>
      </c>
      <c r="Y148" s="37">
        <f>IFERROR(U148/X148,"")</f>
        <v/>
      </c>
      <c r="Z148" s="44">
        <f>IF(D148="","",IF(N(M148)&lt;'KPI Benchmarks'!$D$5,"Attention",IF(N(O148)&lt;'KPI Benchmarks'!$D$6,"Interest",IF(N(Q148)&lt;'KPI Benchmarks'!$D$8,"Page load",IF(N(R148)&lt;'KPI Benchmarks'!$D$9,"Buying intent",IF(N(S148)&lt;'KPI Benchmarks'!$D$10,"Cart",IF(N(T148)&lt;'KPI Benchmarks'!$D$11,"Checkout",IF(X148="","Add economics",IF(N(Y148)&lt;'KPI Benchmarks'!$D$12,"Economics","Healthy – scale")))))))))</f>
        <v/>
      </c>
      <c r="AA148" s="27">
        <f>IF(Z148="","",IF(Z148="Healthy – scale","All stages pass. Add $10–20/day or a new audience; test new creatives beside the main campaign.",IF(Z148="Add economics","Add this client to Client Economics.",IFERROR(INDEX('KPI Benchmarks'!$G$5:$G$12,MATCH(Z148,'KPI Benchmarks'!$A$5:$A$12,0)),""))))</f>
        <v/>
      </c>
      <c r="AB148" s="13" t="n"/>
    </row>
    <row r="149">
      <c r="A149" s="14" t="n"/>
      <c r="B149" s="13" t="n"/>
      <c r="C149" s="34" t="n"/>
      <c r="D149" s="40" t="n"/>
      <c r="E149" s="40" t="n"/>
      <c r="F149" s="40" t="n"/>
      <c r="G149" s="40" t="n"/>
      <c r="H149" s="40" t="n"/>
      <c r="I149" s="40" t="n"/>
      <c r="J149" s="40" t="n"/>
      <c r="K149" s="34" t="n"/>
      <c r="L149" s="36">
        <f>IFERROR(C149/D149*1000,"")</f>
        <v/>
      </c>
      <c r="M149" s="41">
        <f>IFERROR(E149/D149,"")</f>
        <v/>
      </c>
      <c r="N149" s="41">
        <f>IFERROR(F149/D149,"")</f>
        <v/>
      </c>
      <c r="O149" s="42">
        <f>IFERROR(N149/M149,"")</f>
        <v/>
      </c>
      <c r="P149" s="36">
        <f>IFERROR(C149/F149,"")</f>
        <v/>
      </c>
      <c r="Q149" s="42">
        <f>IFERROR(G149/F149,"")</f>
        <v/>
      </c>
      <c r="R149" s="43">
        <f>IFERROR(H149/G149,"")</f>
        <v/>
      </c>
      <c r="S149" s="42">
        <f>IFERROR(I149/H149,"")</f>
        <v/>
      </c>
      <c r="T149" s="42">
        <f>IFERROR(J149/I149,"")</f>
        <v/>
      </c>
      <c r="U149" s="37">
        <f>IFERROR(K149/C149,"")</f>
        <v/>
      </c>
      <c r="V149" s="36">
        <f>IFERROR(C149/J149,"")</f>
        <v/>
      </c>
      <c r="W149" s="36">
        <f>IFERROR(K149/J149,"")</f>
        <v/>
      </c>
      <c r="X149" s="37">
        <f>IFERROR(INDEX('Client Economics'!$J$5:$J$34,MATCH(B149,'Client Economics'!$A$5:$A$34,0)),"")</f>
        <v/>
      </c>
      <c r="Y149" s="37">
        <f>IFERROR(U149/X149,"")</f>
        <v/>
      </c>
      <c r="Z149" s="44">
        <f>IF(D149="","",IF(N(M149)&lt;'KPI Benchmarks'!$D$5,"Attention",IF(N(O149)&lt;'KPI Benchmarks'!$D$6,"Interest",IF(N(Q149)&lt;'KPI Benchmarks'!$D$8,"Page load",IF(N(R149)&lt;'KPI Benchmarks'!$D$9,"Buying intent",IF(N(S149)&lt;'KPI Benchmarks'!$D$10,"Cart",IF(N(T149)&lt;'KPI Benchmarks'!$D$11,"Checkout",IF(X149="","Add economics",IF(N(Y149)&lt;'KPI Benchmarks'!$D$12,"Economics","Healthy – scale")))))))))</f>
        <v/>
      </c>
      <c r="AA149" s="27">
        <f>IF(Z149="","",IF(Z149="Healthy – scale","All stages pass. Add $10–20/day or a new audience; test new creatives beside the main campaign.",IF(Z149="Add economics","Add this client to Client Economics.",IFERROR(INDEX('KPI Benchmarks'!$G$5:$G$12,MATCH(Z149,'KPI Benchmarks'!$A$5:$A$12,0)),""))))</f>
        <v/>
      </c>
      <c r="AB149" s="13" t="n"/>
    </row>
    <row r="150">
      <c r="A150" s="14" t="n"/>
      <c r="B150" s="13" t="n"/>
      <c r="C150" s="34" t="n"/>
      <c r="D150" s="40" t="n"/>
      <c r="E150" s="40" t="n"/>
      <c r="F150" s="40" t="n"/>
      <c r="G150" s="40" t="n"/>
      <c r="H150" s="40" t="n"/>
      <c r="I150" s="40" t="n"/>
      <c r="J150" s="40" t="n"/>
      <c r="K150" s="34" t="n"/>
      <c r="L150" s="36">
        <f>IFERROR(C150/D150*1000,"")</f>
        <v/>
      </c>
      <c r="M150" s="41">
        <f>IFERROR(E150/D150,"")</f>
        <v/>
      </c>
      <c r="N150" s="41">
        <f>IFERROR(F150/D150,"")</f>
        <v/>
      </c>
      <c r="O150" s="42">
        <f>IFERROR(N150/M150,"")</f>
        <v/>
      </c>
      <c r="P150" s="36">
        <f>IFERROR(C150/F150,"")</f>
        <v/>
      </c>
      <c r="Q150" s="42">
        <f>IFERROR(G150/F150,"")</f>
        <v/>
      </c>
      <c r="R150" s="43">
        <f>IFERROR(H150/G150,"")</f>
        <v/>
      </c>
      <c r="S150" s="42">
        <f>IFERROR(I150/H150,"")</f>
        <v/>
      </c>
      <c r="T150" s="42">
        <f>IFERROR(J150/I150,"")</f>
        <v/>
      </c>
      <c r="U150" s="37">
        <f>IFERROR(K150/C150,"")</f>
        <v/>
      </c>
      <c r="V150" s="36">
        <f>IFERROR(C150/J150,"")</f>
        <v/>
      </c>
      <c r="W150" s="36">
        <f>IFERROR(K150/J150,"")</f>
        <v/>
      </c>
      <c r="X150" s="37">
        <f>IFERROR(INDEX('Client Economics'!$J$5:$J$34,MATCH(B150,'Client Economics'!$A$5:$A$34,0)),"")</f>
        <v/>
      </c>
      <c r="Y150" s="37">
        <f>IFERROR(U150/X150,"")</f>
        <v/>
      </c>
      <c r="Z150" s="44">
        <f>IF(D150="","",IF(N(M150)&lt;'KPI Benchmarks'!$D$5,"Attention",IF(N(O150)&lt;'KPI Benchmarks'!$D$6,"Interest",IF(N(Q150)&lt;'KPI Benchmarks'!$D$8,"Page load",IF(N(R150)&lt;'KPI Benchmarks'!$D$9,"Buying intent",IF(N(S150)&lt;'KPI Benchmarks'!$D$10,"Cart",IF(N(T150)&lt;'KPI Benchmarks'!$D$11,"Checkout",IF(X150="","Add economics",IF(N(Y150)&lt;'KPI Benchmarks'!$D$12,"Economics","Healthy – scale")))))))))</f>
        <v/>
      </c>
      <c r="AA150" s="27">
        <f>IF(Z150="","",IF(Z150="Healthy – scale","All stages pass. Add $10–20/day or a new audience; test new creatives beside the main campaign.",IF(Z150="Add economics","Add this client to Client Economics.",IFERROR(INDEX('KPI Benchmarks'!$G$5:$G$12,MATCH(Z150,'KPI Benchmarks'!$A$5:$A$12,0)),""))))</f>
        <v/>
      </c>
      <c r="AB150" s="13" t="n"/>
    </row>
    <row r="151">
      <c r="A151" s="14" t="n"/>
      <c r="B151" s="13" t="n"/>
      <c r="C151" s="34" t="n"/>
      <c r="D151" s="40" t="n"/>
      <c r="E151" s="40" t="n"/>
      <c r="F151" s="40" t="n"/>
      <c r="G151" s="40" t="n"/>
      <c r="H151" s="40" t="n"/>
      <c r="I151" s="40" t="n"/>
      <c r="J151" s="40" t="n"/>
      <c r="K151" s="34" t="n"/>
      <c r="L151" s="36">
        <f>IFERROR(C151/D151*1000,"")</f>
        <v/>
      </c>
      <c r="M151" s="41">
        <f>IFERROR(E151/D151,"")</f>
        <v/>
      </c>
      <c r="N151" s="41">
        <f>IFERROR(F151/D151,"")</f>
        <v/>
      </c>
      <c r="O151" s="42">
        <f>IFERROR(N151/M151,"")</f>
        <v/>
      </c>
      <c r="P151" s="36">
        <f>IFERROR(C151/F151,"")</f>
        <v/>
      </c>
      <c r="Q151" s="42">
        <f>IFERROR(G151/F151,"")</f>
        <v/>
      </c>
      <c r="R151" s="43">
        <f>IFERROR(H151/G151,"")</f>
        <v/>
      </c>
      <c r="S151" s="42">
        <f>IFERROR(I151/H151,"")</f>
        <v/>
      </c>
      <c r="T151" s="42">
        <f>IFERROR(J151/I151,"")</f>
        <v/>
      </c>
      <c r="U151" s="37">
        <f>IFERROR(K151/C151,"")</f>
        <v/>
      </c>
      <c r="V151" s="36">
        <f>IFERROR(C151/J151,"")</f>
        <v/>
      </c>
      <c r="W151" s="36">
        <f>IFERROR(K151/J151,"")</f>
        <v/>
      </c>
      <c r="X151" s="37">
        <f>IFERROR(INDEX('Client Economics'!$J$5:$J$34,MATCH(B151,'Client Economics'!$A$5:$A$34,0)),"")</f>
        <v/>
      </c>
      <c r="Y151" s="37">
        <f>IFERROR(U151/X151,"")</f>
        <v/>
      </c>
      <c r="Z151" s="44">
        <f>IF(D151="","",IF(N(M151)&lt;'KPI Benchmarks'!$D$5,"Attention",IF(N(O151)&lt;'KPI Benchmarks'!$D$6,"Interest",IF(N(Q151)&lt;'KPI Benchmarks'!$D$8,"Page load",IF(N(R151)&lt;'KPI Benchmarks'!$D$9,"Buying intent",IF(N(S151)&lt;'KPI Benchmarks'!$D$10,"Cart",IF(N(T151)&lt;'KPI Benchmarks'!$D$11,"Checkout",IF(X151="","Add economics",IF(N(Y151)&lt;'KPI Benchmarks'!$D$12,"Economics","Healthy – scale")))))))))</f>
        <v/>
      </c>
      <c r="AA151" s="27">
        <f>IF(Z151="","",IF(Z151="Healthy – scale","All stages pass. Add $10–20/day or a new audience; test new creatives beside the main campaign.",IF(Z151="Add economics","Add this client to Client Economics.",IFERROR(INDEX('KPI Benchmarks'!$G$5:$G$12,MATCH(Z151,'KPI Benchmarks'!$A$5:$A$12,0)),""))))</f>
        <v/>
      </c>
      <c r="AB151" s="13" t="n"/>
    </row>
    <row r="152">
      <c r="A152" s="14" t="n"/>
      <c r="B152" s="13" t="n"/>
      <c r="C152" s="34" t="n"/>
      <c r="D152" s="40" t="n"/>
      <c r="E152" s="40" t="n"/>
      <c r="F152" s="40" t="n"/>
      <c r="G152" s="40" t="n"/>
      <c r="H152" s="40" t="n"/>
      <c r="I152" s="40" t="n"/>
      <c r="J152" s="40" t="n"/>
      <c r="K152" s="34" t="n"/>
      <c r="L152" s="36">
        <f>IFERROR(C152/D152*1000,"")</f>
        <v/>
      </c>
      <c r="M152" s="41">
        <f>IFERROR(E152/D152,"")</f>
        <v/>
      </c>
      <c r="N152" s="41">
        <f>IFERROR(F152/D152,"")</f>
        <v/>
      </c>
      <c r="O152" s="42">
        <f>IFERROR(N152/M152,"")</f>
        <v/>
      </c>
      <c r="P152" s="36">
        <f>IFERROR(C152/F152,"")</f>
        <v/>
      </c>
      <c r="Q152" s="42">
        <f>IFERROR(G152/F152,"")</f>
        <v/>
      </c>
      <c r="R152" s="43">
        <f>IFERROR(H152/G152,"")</f>
        <v/>
      </c>
      <c r="S152" s="42">
        <f>IFERROR(I152/H152,"")</f>
        <v/>
      </c>
      <c r="T152" s="42">
        <f>IFERROR(J152/I152,"")</f>
        <v/>
      </c>
      <c r="U152" s="37">
        <f>IFERROR(K152/C152,"")</f>
        <v/>
      </c>
      <c r="V152" s="36">
        <f>IFERROR(C152/J152,"")</f>
        <v/>
      </c>
      <c r="W152" s="36">
        <f>IFERROR(K152/J152,"")</f>
        <v/>
      </c>
      <c r="X152" s="37">
        <f>IFERROR(INDEX('Client Economics'!$J$5:$J$34,MATCH(B152,'Client Economics'!$A$5:$A$34,0)),"")</f>
        <v/>
      </c>
      <c r="Y152" s="37">
        <f>IFERROR(U152/X152,"")</f>
        <v/>
      </c>
      <c r="Z152" s="44">
        <f>IF(D152="","",IF(N(M152)&lt;'KPI Benchmarks'!$D$5,"Attention",IF(N(O152)&lt;'KPI Benchmarks'!$D$6,"Interest",IF(N(Q152)&lt;'KPI Benchmarks'!$D$8,"Page load",IF(N(R152)&lt;'KPI Benchmarks'!$D$9,"Buying intent",IF(N(S152)&lt;'KPI Benchmarks'!$D$10,"Cart",IF(N(T152)&lt;'KPI Benchmarks'!$D$11,"Checkout",IF(X152="","Add economics",IF(N(Y152)&lt;'KPI Benchmarks'!$D$12,"Economics","Healthy – scale")))))))))</f>
        <v/>
      </c>
      <c r="AA152" s="27">
        <f>IF(Z152="","",IF(Z152="Healthy – scale","All stages pass. Add $10–20/day or a new audience; test new creatives beside the main campaign.",IF(Z152="Add economics","Add this client to Client Economics.",IFERROR(INDEX('KPI Benchmarks'!$G$5:$G$12,MATCH(Z152,'KPI Benchmarks'!$A$5:$A$12,0)),""))))</f>
        <v/>
      </c>
      <c r="AB152" s="13" t="n"/>
    </row>
    <row r="153">
      <c r="A153" s="14" t="n"/>
      <c r="B153" s="13" t="n"/>
      <c r="C153" s="34" t="n"/>
      <c r="D153" s="40" t="n"/>
      <c r="E153" s="40" t="n"/>
      <c r="F153" s="40" t="n"/>
      <c r="G153" s="40" t="n"/>
      <c r="H153" s="40" t="n"/>
      <c r="I153" s="40" t="n"/>
      <c r="J153" s="40" t="n"/>
      <c r="K153" s="34" t="n"/>
      <c r="L153" s="36">
        <f>IFERROR(C153/D153*1000,"")</f>
        <v/>
      </c>
      <c r="M153" s="41">
        <f>IFERROR(E153/D153,"")</f>
        <v/>
      </c>
      <c r="N153" s="41">
        <f>IFERROR(F153/D153,"")</f>
        <v/>
      </c>
      <c r="O153" s="42">
        <f>IFERROR(N153/M153,"")</f>
        <v/>
      </c>
      <c r="P153" s="36">
        <f>IFERROR(C153/F153,"")</f>
        <v/>
      </c>
      <c r="Q153" s="42">
        <f>IFERROR(G153/F153,"")</f>
        <v/>
      </c>
      <c r="R153" s="43">
        <f>IFERROR(H153/G153,"")</f>
        <v/>
      </c>
      <c r="S153" s="42">
        <f>IFERROR(I153/H153,"")</f>
        <v/>
      </c>
      <c r="T153" s="42">
        <f>IFERROR(J153/I153,"")</f>
        <v/>
      </c>
      <c r="U153" s="37">
        <f>IFERROR(K153/C153,"")</f>
        <v/>
      </c>
      <c r="V153" s="36">
        <f>IFERROR(C153/J153,"")</f>
        <v/>
      </c>
      <c r="W153" s="36">
        <f>IFERROR(K153/J153,"")</f>
        <v/>
      </c>
      <c r="X153" s="37">
        <f>IFERROR(INDEX('Client Economics'!$J$5:$J$34,MATCH(B153,'Client Economics'!$A$5:$A$34,0)),"")</f>
        <v/>
      </c>
      <c r="Y153" s="37">
        <f>IFERROR(U153/X153,"")</f>
        <v/>
      </c>
      <c r="Z153" s="44">
        <f>IF(D153="","",IF(N(M153)&lt;'KPI Benchmarks'!$D$5,"Attention",IF(N(O153)&lt;'KPI Benchmarks'!$D$6,"Interest",IF(N(Q153)&lt;'KPI Benchmarks'!$D$8,"Page load",IF(N(R153)&lt;'KPI Benchmarks'!$D$9,"Buying intent",IF(N(S153)&lt;'KPI Benchmarks'!$D$10,"Cart",IF(N(T153)&lt;'KPI Benchmarks'!$D$11,"Checkout",IF(X153="","Add economics",IF(N(Y153)&lt;'KPI Benchmarks'!$D$12,"Economics","Healthy – scale")))))))))</f>
        <v/>
      </c>
      <c r="AA153" s="27">
        <f>IF(Z153="","",IF(Z153="Healthy – scale","All stages pass. Add $10–20/day or a new audience; test new creatives beside the main campaign.",IF(Z153="Add economics","Add this client to Client Economics.",IFERROR(INDEX('KPI Benchmarks'!$G$5:$G$12,MATCH(Z153,'KPI Benchmarks'!$A$5:$A$12,0)),""))))</f>
        <v/>
      </c>
      <c r="AB153" s="13" t="n"/>
    </row>
    <row r="154">
      <c r="A154" s="14" t="n"/>
      <c r="B154" s="13" t="n"/>
      <c r="C154" s="34" t="n"/>
      <c r="D154" s="40" t="n"/>
      <c r="E154" s="40" t="n"/>
      <c r="F154" s="40" t="n"/>
      <c r="G154" s="40" t="n"/>
      <c r="H154" s="40" t="n"/>
      <c r="I154" s="40" t="n"/>
      <c r="J154" s="40" t="n"/>
      <c r="K154" s="34" t="n"/>
      <c r="L154" s="36">
        <f>IFERROR(C154/D154*1000,"")</f>
        <v/>
      </c>
      <c r="M154" s="41">
        <f>IFERROR(E154/D154,"")</f>
        <v/>
      </c>
      <c r="N154" s="41">
        <f>IFERROR(F154/D154,"")</f>
        <v/>
      </c>
      <c r="O154" s="42">
        <f>IFERROR(N154/M154,"")</f>
        <v/>
      </c>
      <c r="P154" s="36">
        <f>IFERROR(C154/F154,"")</f>
        <v/>
      </c>
      <c r="Q154" s="42">
        <f>IFERROR(G154/F154,"")</f>
        <v/>
      </c>
      <c r="R154" s="43">
        <f>IFERROR(H154/G154,"")</f>
        <v/>
      </c>
      <c r="S154" s="42">
        <f>IFERROR(I154/H154,"")</f>
        <v/>
      </c>
      <c r="T154" s="42">
        <f>IFERROR(J154/I154,"")</f>
        <v/>
      </c>
      <c r="U154" s="37">
        <f>IFERROR(K154/C154,"")</f>
        <v/>
      </c>
      <c r="V154" s="36">
        <f>IFERROR(C154/J154,"")</f>
        <v/>
      </c>
      <c r="W154" s="36">
        <f>IFERROR(K154/J154,"")</f>
        <v/>
      </c>
      <c r="X154" s="37">
        <f>IFERROR(INDEX('Client Economics'!$J$5:$J$34,MATCH(B154,'Client Economics'!$A$5:$A$34,0)),"")</f>
        <v/>
      </c>
      <c r="Y154" s="37">
        <f>IFERROR(U154/X154,"")</f>
        <v/>
      </c>
      <c r="Z154" s="44">
        <f>IF(D154="","",IF(N(M154)&lt;'KPI Benchmarks'!$D$5,"Attention",IF(N(O154)&lt;'KPI Benchmarks'!$D$6,"Interest",IF(N(Q154)&lt;'KPI Benchmarks'!$D$8,"Page load",IF(N(R154)&lt;'KPI Benchmarks'!$D$9,"Buying intent",IF(N(S154)&lt;'KPI Benchmarks'!$D$10,"Cart",IF(N(T154)&lt;'KPI Benchmarks'!$D$11,"Checkout",IF(X154="","Add economics",IF(N(Y154)&lt;'KPI Benchmarks'!$D$12,"Economics","Healthy – scale")))))))))</f>
        <v/>
      </c>
      <c r="AA154" s="27">
        <f>IF(Z154="","",IF(Z154="Healthy – scale","All stages pass. Add $10–20/day or a new audience; test new creatives beside the main campaign.",IF(Z154="Add economics","Add this client to Client Economics.",IFERROR(INDEX('KPI Benchmarks'!$G$5:$G$12,MATCH(Z154,'KPI Benchmarks'!$A$5:$A$12,0)),""))))</f>
        <v/>
      </c>
      <c r="AB154" s="13" t="n"/>
    </row>
    <row r="155">
      <c r="A155" s="14" t="n"/>
      <c r="B155" s="13" t="n"/>
      <c r="C155" s="34" t="n"/>
      <c r="D155" s="40" t="n"/>
      <c r="E155" s="40" t="n"/>
      <c r="F155" s="40" t="n"/>
      <c r="G155" s="40" t="n"/>
      <c r="H155" s="40" t="n"/>
      <c r="I155" s="40" t="n"/>
      <c r="J155" s="40" t="n"/>
      <c r="K155" s="34" t="n"/>
      <c r="L155" s="36">
        <f>IFERROR(C155/D155*1000,"")</f>
        <v/>
      </c>
      <c r="M155" s="41">
        <f>IFERROR(E155/D155,"")</f>
        <v/>
      </c>
      <c r="N155" s="41">
        <f>IFERROR(F155/D155,"")</f>
        <v/>
      </c>
      <c r="O155" s="42">
        <f>IFERROR(N155/M155,"")</f>
        <v/>
      </c>
      <c r="P155" s="36">
        <f>IFERROR(C155/F155,"")</f>
        <v/>
      </c>
      <c r="Q155" s="42">
        <f>IFERROR(G155/F155,"")</f>
        <v/>
      </c>
      <c r="R155" s="43">
        <f>IFERROR(H155/G155,"")</f>
        <v/>
      </c>
      <c r="S155" s="42">
        <f>IFERROR(I155/H155,"")</f>
        <v/>
      </c>
      <c r="T155" s="42">
        <f>IFERROR(J155/I155,"")</f>
        <v/>
      </c>
      <c r="U155" s="37">
        <f>IFERROR(K155/C155,"")</f>
        <v/>
      </c>
      <c r="V155" s="36">
        <f>IFERROR(C155/J155,"")</f>
        <v/>
      </c>
      <c r="W155" s="36">
        <f>IFERROR(K155/J155,"")</f>
        <v/>
      </c>
      <c r="X155" s="37">
        <f>IFERROR(INDEX('Client Economics'!$J$5:$J$34,MATCH(B155,'Client Economics'!$A$5:$A$34,0)),"")</f>
        <v/>
      </c>
      <c r="Y155" s="37">
        <f>IFERROR(U155/X155,"")</f>
        <v/>
      </c>
      <c r="Z155" s="44">
        <f>IF(D155="","",IF(N(M155)&lt;'KPI Benchmarks'!$D$5,"Attention",IF(N(O155)&lt;'KPI Benchmarks'!$D$6,"Interest",IF(N(Q155)&lt;'KPI Benchmarks'!$D$8,"Page load",IF(N(R155)&lt;'KPI Benchmarks'!$D$9,"Buying intent",IF(N(S155)&lt;'KPI Benchmarks'!$D$10,"Cart",IF(N(T155)&lt;'KPI Benchmarks'!$D$11,"Checkout",IF(X155="","Add economics",IF(N(Y155)&lt;'KPI Benchmarks'!$D$12,"Economics","Healthy – scale")))))))))</f>
        <v/>
      </c>
      <c r="AA155" s="27">
        <f>IF(Z155="","",IF(Z155="Healthy – scale","All stages pass. Add $10–20/day or a new audience; test new creatives beside the main campaign.",IF(Z155="Add economics","Add this client to Client Economics.",IFERROR(INDEX('KPI Benchmarks'!$G$5:$G$12,MATCH(Z155,'KPI Benchmarks'!$A$5:$A$12,0)),""))))</f>
        <v/>
      </c>
      <c r="AB155" s="13" t="n"/>
    </row>
    <row r="156">
      <c r="A156" s="14" t="n"/>
      <c r="B156" s="13" t="n"/>
      <c r="C156" s="34" t="n"/>
      <c r="D156" s="40" t="n"/>
      <c r="E156" s="40" t="n"/>
      <c r="F156" s="40" t="n"/>
      <c r="G156" s="40" t="n"/>
      <c r="H156" s="40" t="n"/>
      <c r="I156" s="40" t="n"/>
      <c r="J156" s="40" t="n"/>
      <c r="K156" s="34" t="n"/>
      <c r="L156" s="36">
        <f>IFERROR(C156/D156*1000,"")</f>
        <v/>
      </c>
      <c r="M156" s="41">
        <f>IFERROR(E156/D156,"")</f>
        <v/>
      </c>
      <c r="N156" s="41">
        <f>IFERROR(F156/D156,"")</f>
        <v/>
      </c>
      <c r="O156" s="42">
        <f>IFERROR(N156/M156,"")</f>
        <v/>
      </c>
      <c r="P156" s="36">
        <f>IFERROR(C156/F156,"")</f>
        <v/>
      </c>
      <c r="Q156" s="42">
        <f>IFERROR(G156/F156,"")</f>
        <v/>
      </c>
      <c r="R156" s="43">
        <f>IFERROR(H156/G156,"")</f>
        <v/>
      </c>
      <c r="S156" s="42">
        <f>IFERROR(I156/H156,"")</f>
        <v/>
      </c>
      <c r="T156" s="42">
        <f>IFERROR(J156/I156,"")</f>
        <v/>
      </c>
      <c r="U156" s="37">
        <f>IFERROR(K156/C156,"")</f>
        <v/>
      </c>
      <c r="V156" s="36">
        <f>IFERROR(C156/J156,"")</f>
        <v/>
      </c>
      <c r="W156" s="36">
        <f>IFERROR(K156/J156,"")</f>
        <v/>
      </c>
      <c r="X156" s="37">
        <f>IFERROR(INDEX('Client Economics'!$J$5:$J$34,MATCH(B156,'Client Economics'!$A$5:$A$34,0)),"")</f>
        <v/>
      </c>
      <c r="Y156" s="37">
        <f>IFERROR(U156/X156,"")</f>
        <v/>
      </c>
      <c r="Z156" s="44">
        <f>IF(D156="","",IF(N(M156)&lt;'KPI Benchmarks'!$D$5,"Attention",IF(N(O156)&lt;'KPI Benchmarks'!$D$6,"Interest",IF(N(Q156)&lt;'KPI Benchmarks'!$D$8,"Page load",IF(N(R156)&lt;'KPI Benchmarks'!$D$9,"Buying intent",IF(N(S156)&lt;'KPI Benchmarks'!$D$10,"Cart",IF(N(T156)&lt;'KPI Benchmarks'!$D$11,"Checkout",IF(X156="","Add economics",IF(N(Y156)&lt;'KPI Benchmarks'!$D$12,"Economics","Healthy – scale")))))))))</f>
        <v/>
      </c>
      <c r="AA156" s="27">
        <f>IF(Z156="","",IF(Z156="Healthy – scale","All stages pass. Add $10–20/day or a new audience; test new creatives beside the main campaign.",IF(Z156="Add economics","Add this client to Client Economics.",IFERROR(INDEX('KPI Benchmarks'!$G$5:$G$12,MATCH(Z156,'KPI Benchmarks'!$A$5:$A$12,0)),""))))</f>
        <v/>
      </c>
      <c r="AB156" s="13" t="n"/>
    </row>
    <row r="157">
      <c r="A157" s="14" t="n"/>
      <c r="B157" s="13" t="n"/>
      <c r="C157" s="34" t="n"/>
      <c r="D157" s="40" t="n"/>
      <c r="E157" s="40" t="n"/>
      <c r="F157" s="40" t="n"/>
      <c r="G157" s="40" t="n"/>
      <c r="H157" s="40" t="n"/>
      <c r="I157" s="40" t="n"/>
      <c r="J157" s="40" t="n"/>
      <c r="K157" s="34" t="n"/>
      <c r="L157" s="36">
        <f>IFERROR(C157/D157*1000,"")</f>
        <v/>
      </c>
      <c r="M157" s="41">
        <f>IFERROR(E157/D157,"")</f>
        <v/>
      </c>
      <c r="N157" s="41">
        <f>IFERROR(F157/D157,"")</f>
        <v/>
      </c>
      <c r="O157" s="42">
        <f>IFERROR(N157/M157,"")</f>
        <v/>
      </c>
      <c r="P157" s="36">
        <f>IFERROR(C157/F157,"")</f>
        <v/>
      </c>
      <c r="Q157" s="42">
        <f>IFERROR(G157/F157,"")</f>
        <v/>
      </c>
      <c r="R157" s="43">
        <f>IFERROR(H157/G157,"")</f>
        <v/>
      </c>
      <c r="S157" s="42">
        <f>IFERROR(I157/H157,"")</f>
        <v/>
      </c>
      <c r="T157" s="42">
        <f>IFERROR(J157/I157,"")</f>
        <v/>
      </c>
      <c r="U157" s="37">
        <f>IFERROR(K157/C157,"")</f>
        <v/>
      </c>
      <c r="V157" s="36">
        <f>IFERROR(C157/J157,"")</f>
        <v/>
      </c>
      <c r="W157" s="36">
        <f>IFERROR(K157/J157,"")</f>
        <v/>
      </c>
      <c r="X157" s="37">
        <f>IFERROR(INDEX('Client Economics'!$J$5:$J$34,MATCH(B157,'Client Economics'!$A$5:$A$34,0)),"")</f>
        <v/>
      </c>
      <c r="Y157" s="37">
        <f>IFERROR(U157/X157,"")</f>
        <v/>
      </c>
      <c r="Z157" s="44">
        <f>IF(D157="","",IF(N(M157)&lt;'KPI Benchmarks'!$D$5,"Attention",IF(N(O157)&lt;'KPI Benchmarks'!$D$6,"Interest",IF(N(Q157)&lt;'KPI Benchmarks'!$D$8,"Page load",IF(N(R157)&lt;'KPI Benchmarks'!$D$9,"Buying intent",IF(N(S157)&lt;'KPI Benchmarks'!$D$10,"Cart",IF(N(T157)&lt;'KPI Benchmarks'!$D$11,"Checkout",IF(X157="","Add economics",IF(N(Y157)&lt;'KPI Benchmarks'!$D$12,"Economics","Healthy – scale")))))))))</f>
        <v/>
      </c>
      <c r="AA157" s="27">
        <f>IF(Z157="","",IF(Z157="Healthy – scale","All stages pass. Add $10–20/day or a new audience; test new creatives beside the main campaign.",IF(Z157="Add economics","Add this client to Client Economics.",IFERROR(INDEX('KPI Benchmarks'!$G$5:$G$12,MATCH(Z157,'KPI Benchmarks'!$A$5:$A$12,0)),""))))</f>
        <v/>
      </c>
      <c r="AB157" s="13" t="n"/>
    </row>
    <row r="158">
      <c r="A158" s="14" t="n"/>
      <c r="B158" s="13" t="n"/>
      <c r="C158" s="34" t="n"/>
      <c r="D158" s="40" t="n"/>
      <c r="E158" s="40" t="n"/>
      <c r="F158" s="40" t="n"/>
      <c r="G158" s="40" t="n"/>
      <c r="H158" s="40" t="n"/>
      <c r="I158" s="40" t="n"/>
      <c r="J158" s="40" t="n"/>
      <c r="K158" s="34" t="n"/>
      <c r="L158" s="36">
        <f>IFERROR(C158/D158*1000,"")</f>
        <v/>
      </c>
      <c r="M158" s="41">
        <f>IFERROR(E158/D158,"")</f>
        <v/>
      </c>
      <c r="N158" s="41">
        <f>IFERROR(F158/D158,"")</f>
        <v/>
      </c>
      <c r="O158" s="42">
        <f>IFERROR(N158/M158,"")</f>
        <v/>
      </c>
      <c r="P158" s="36">
        <f>IFERROR(C158/F158,"")</f>
        <v/>
      </c>
      <c r="Q158" s="42">
        <f>IFERROR(G158/F158,"")</f>
        <v/>
      </c>
      <c r="R158" s="43">
        <f>IFERROR(H158/G158,"")</f>
        <v/>
      </c>
      <c r="S158" s="42">
        <f>IFERROR(I158/H158,"")</f>
        <v/>
      </c>
      <c r="T158" s="42">
        <f>IFERROR(J158/I158,"")</f>
        <v/>
      </c>
      <c r="U158" s="37">
        <f>IFERROR(K158/C158,"")</f>
        <v/>
      </c>
      <c r="V158" s="36">
        <f>IFERROR(C158/J158,"")</f>
        <v/>
      </c>
      <c r="W158" s="36">
        <f>IFERROR(K158/J158,"")</f>
        <v/>
      </c>
      <c r="X158" s="37">
        <f>IFERROR(INDEX('Client Economics'!$J$5:$J$34,MATCH(B158,'Client Economics'!$A$5:$A$34,0)),"")</f>
        <v/>
      </c>
      <c r="Y158" s="37">
        <f>IFERROR(U158/X158,"")</f>
        <v/>
      </c>
      <c r="Z158" s="44">
        <f>IF(D158="","",IF(N(M158)&lt;'KPI Benchmarks'!$D$5,"Attention",IF(N(O158)&lt;'KPI Benchmarks'!$D$6,"Interest",IF(N(Q158)&lt;'KPI Benchmarks'!$D$8,"Page load",IF(N(R158)&lt;'KPI Benchmarks'!$D$9,"Buying intent",IF(N(S158)&lt;'KPI Benchmarks'!$D$10,"Cart",IF(N(T158)&lt;'KPI Benchmarks'!$D$11,"Checkout",IF(X158="","Add economics",IF(N(Y158)&lt;'KPI Benchmarks'!$D$12,"Economics","Healthy – scale")))))))))</f>
        <v/>
      </c>
      <c r="AA158" s="27">
        <f>IF(Z158="","",IF(Z158="Healthy – scale","All stages pass. Add $10–20/day or a new audience; test new creatives beside the main campaign.",IF(Z158="Add economics","Add this client to Client Economics.",IFERROR(INDEX('KPI Benchmarks'!$G$5:$G$12,MATCH(Z158,'KPI Benchmarks'!$A$5:$A$12,0)),""))))</f>
        <v/>
      </c>
      <c r="AB158" s="13" t="n"/>
    </row>
    <row r="159">
      <c r="A159" s="14" t="n"/>
      <c r="B159" s="13" t="n"/>
      <c r="C159" s="34" t="n"/>
      <c r="D159" s="40" t="n"/>
      <c r="E159" s="40" t="n"/>
      <c r="F159" s="40" t="n"/>
      <c r="G159" s="40" t="n"/>
      <c r="H159" s="40" t="n"/>
      <c r="I159" s="40" t="n"/>
      <c r="J159" s="40" t="n"/>
      <c r="K159" s="34" t="n"/>
      <c r="L159" s="36">
        <f>IFERROR(C159/D159*1000,"")</f>
        <v/>
      </c>
      <c r="M159" s="41">
        <f>IFERROR(E159/D159,"")</f>
        <v/>
      </c>
      <c r="N159" s="41">
        <f>IFERROR(F159/D159,"")</f>
        <v/>
      </c>
      <c r="O159" s="42">
        <f>IFERROR(N159/M159,"")</f>
        <v/>
      </c>
      <c r="P159" s="36">
        <f>IFERROR(C159/F159,"")</f>
        <v/>
      </c>
      <c r="Q159" s="42">
        <f>IFERROR(G159/F159,"")</f>
        <v/>
      </c>
      <c r="R159" s="43">
        <f>IFERROR(H159/G159,"")</f>
        <v/>
      </c>
      <c r="S159" s="42">
        <f>IFERROR(I159/H159,"")</f>
        <v/>
      </c>
      <c r="T159" s="42">
        <f>IFERROR(J159/I159,"")</f>
        <v/>
      </c>
      <c r="U159" s="37">
        <f>IFERROR(K159/C159,"")</f>
        <v/>
      </c>
      <c r="V159" s="36">
        <f>IFERROR(C159/J159,"")</f>
        <v/>
      </c>
      <c r="W159" s="36">
        <f>IFERROR(K159/J159,"")</f>
        <v/>
      </c>
      <c r="X159" s="37">
        <f>IFERROR(INDEX('Client Economics'!$J$5:$J$34,MATCH(B159,'Client Economics'!$A$5:$A$34,0)),"")</f>
        <v/>
      </c>
      <c r="Y159" s="37">
        <f>IFERROR(U159/X159,"")</f>
        <v/>
      </c>
      <c r="Z159" s="44">
        <f>IF(D159="","",IF(N(M159)&lt;'KPI Benchmarks'!$D$5,"Attention",IF(N(O159)&lt;'KPI Benchmarks'!$D$6,"Interest",IF(N(Q159)&lt;'KPI Benchmarks'!$D$8,"Page load",IF(N(R159)&lt;'KPI Benchmarks'!$D$9,"Buying intent",IF(N(S159)&lt;'KPI Benchmarks'!$D$10,"Cart",IF(N(T159)&lt;'KPI Benchmarks'!$D$11,"Checkout",IF(X159="","Add economics",IF(N(Y159)&lt;'KPI Benchmarks'!$D$12,"Economics","Healthy – scale")))))))))</f>
        <v/>
      </c>
      <c r="AA159" s="27">
        <f>IF(Z159="","",IF(Z159="Healthy – scale","All stages pass. Add $10–20/day or a new audience; test new creatives beside the main campaign.",IF(Z159="Add economics","Add this client to Client Economics.",IFERROR(INDEX('KPI Benchmarks'!$G$5:$G$12,MATCH(Z159,'KPI Benchmarks'!$A$5:$A$12,0)),""))))</f>
        <v/>
      </c>
      <c r="AB159" s="13" t="n"/>
    </row>
    <row r="160">
      <c r="A160" s="14" t="n"/>
      <c r="B160" s="13" t="n"/>
      <c r="C160" s="34" t="n"/>
      <c r="D160" s="40" t="n"/>
      <c r="E160" s="40" t="n"/>
      <c r="F160" s="40" t="n"/>
      <c r="G160" s="40" t="n"/>
      <c r="H160" s="40" t="n"/>
      <c r="I160" s="40" t="n"/>
      <c r="J160" s="40" t="n"/>
      <c r="K160" s="34" t="n"/>
      <c r="L160" s="36">
        <f>IFERROR(C160/D160*1000,"")</f>
        <v/>
      </c>
      <c r="M160" s="41">
        <f>IFERROR(E160/D160,"")</f>
        <v/>
      </c>
      <c r="N160" s="41">
        <f>IFERROR(F160/D160,"")</f>
        <v/>
      </c>
      <c r="O160" s="42">
        <f>IFERROR(N160/M160,"")</f>
        <v/>
      </c>
      <c r="P160" s="36">
        <f>IFERROR(C160/F160,"")</f>
        <v/>
      </c>
      <c r="Q160" s="42">
        <f>IFERROR(G160/F160,"")</f>
        <v/>
      </c>
      <c r="R160" s="43">
        <f>IFERROR(H160/G160,"")</f>
        <v/>
      </c>
      <c r="S160" s="42">
        <f>IFERROR(I160/H160,"")</f>
        <v/>
      </c>
      <c r="T160" s="42">
        <f>IFERROR(J160/I160,"")</f>
        <v/>
      </c>
      <c r="U160" s="37">
        <f>IFERROR(K160/C160,"")</f>
        <v/>
      </c>
      <c r="V160" s="36">
        <f>IFERROR(C160/J160,"")</f>
        <v/>
      </c>
      <c r="W160" s="36">
        <f>IFERROR(K160/J160,"")</f>
        <v/>
      </c>
      <c r="X160" s="37">
        <f>IFERROR(INDEX('Client Economics'!$J$5:$J$34,MATCH(B160,'Client Economics'!$A$5:$A$34,0)),"")</f>
        <v/>
      </c>
      <c r="Y160" s="37">
        <f>IFERROR(U160/X160,"")</f>
        <v/>
      </c>
      <c r="Z160" s="44">
        <f>IF(D160="","",IF(N(M160)&lt;'KPI Benchmarks'!$D$5,"Attention",IF(N(O160)&lt;'KPI Benchmarks'!$D$6,"Interest",IF(N(Q160)&lt;'KPI Benchmarks'!$D$8,"Page load",IF(N(R160)&lt;'KPI Benchmarks'!$D$9,"Buying intent",IF(N(S160)&lt;'KPI Benchmarks'!$D$10,"Cart",IF(N(T160)&lt;'KPI Benchmarks'!$D$11,"Checkout",IF(X160="","Add economics",IF(N(Y160)&lt;'KPI Benchmarks'!$D$12,"Economics","Healthy – scale")))))))))</f>
        <v/>
      </c>
      <c r="AA160" s="27">
        <f>IF(Z160="","",IF(Z160="Healthy – scale","All stages pass. Add $10–20/day or a new audience; test new creatives beside the main campaign.",IF(Z160="Add economics","Add this client to Client Economics.",IFERROR(INDEX('KPI Benchmarks'!$G$5:$G$12,MATCH(Z160,'KPI Benchmarks'!$A$5:$A$12,0)),""))))</f>
        <v/>
      </c>
      <c r="AB160" s="13" t="n"/>
    </row>
    <row r="161">
      <c r="A161" s="14" t="n"/>
      <c r="B161" s="13" t="n"/>
      <c r="C161" s="34" t="n"/>
      <c r="D161" s="40" t="n"/>
      <c r="E161" s="40" t="n"/>
      <c r="F161" s="40" t="n"/>
      <c r="G161" s="40" t="n"/>
      <c r="H161" s="40" t="n"/>
      <c r="I161" s="40" t="n"/>
      <c r="J161" s="40" t="n"/>
      <c r="K161" s="34" t="n"/>
      <c r="L161" s="36">
        <f>IFERROR(C161/D161*1000,"")</f>
        <v/>
      </c>
      <c r="M161" s="41">
        <f>IFERROR(E161/D161,"")</f>
        <v/>
      </c>
      <c r="N161" s="41">
        <f>IFERROR(F161/D161,"")</f>
        <v/>
      </c>
      <c r="O161" s="42">
        <f>IFERROR(N161/M161,"")</f>
        <v/>
      </c>
      <c r="P161" s="36">
        <f>IFERROR(C161/F161,"")</f>
        <v/>
      </c>
      <c r="Q161" s="42">
        <f>IFERROR(G161/F161,"")</f>
        <v/>
      </c>
      <c r="R161" s="43">
        <f>IFERROR(H161/G161,"")</f>
        <v/>
      </c>
      <c r="S161" s="42">
        <f>IFERROR(I161/H161,"")</f>
        <v/>
      </c>
      <c r="T161" s="42">
        <f>IFERROR(J161/I161,"")</f>
        <v/>
      </c>
      <c r="U161" s="37">
        <f>IFERROR(K161/C161,"")</f>
        <v/>
      </c>
      <c r="V161" s="36">
        <f>IFERROR(C161/J161,"")</f>
        <v/>
      </c>
      <c r="W161" s="36">
        <f>IFERROR(K161/J161,"")</f>
        <v/>
      </c>
      <c r="X161" s="37">
        <f>IFERROR(INDEX('Client Economics'!$J$5:$J$34,MATCH(B161,'Client Economics'!$A$5:$A$34,0)),"")</f>
        <v/>
      </c>
      <c r="Y161" s="37">
        <f>IFERROR(U161/X161,"")</f>
        <v/>
      </c>
      <c r="Z161" s="44">
        <f>IF(D161="","",IF(N(M161)&lt;'KPI Benchmarks'!$D$5,"Attention",IF(N(O161)&lt;'KPI Benchmarks'!$D$6,"Interest",IF(N(Q161)&lt;'KPI Benchmarks'!$D$8,"Page load",IF(N(R161)&lt;'KPI Benchmarks'!$D$9,"Buying intent",IF(N(S161)&lt;'KPI Benchmarks'!$D$10,"Cart",IF(N(T161)&lt;'KPI Benchmarks'!$D$11,"Checkout",IF(X161="","Add economics",IF(N(Y161)&lt;'KPI Benchmarks'!$D$12,"Economics","Healthy – scale")))))))))</f>
        <v/>
      </c>
      <c r="AA161" s="27">
        <f>IF(Z161="","",IF(Z161="Healthy – scale","All stages pass. Add $10–20/day or a new audience; test new creatives beside the main campaign.",IF(Z161="Add economics","Add this client to Client Economics.",IFERROR(INDEX('KPI Benchmarks'!$G$5:$G$12,MATCH(Z161,'KPI Benchmarks'!$A$5:$A$12,0)),""))))</f>
        <v/>
      </c>
      <c r="AB161" s="13" t="n"/>
    </row>
    <row r="162">
      <c r="A162" s="14" t="n"/>
      <c r="B162" s="13" t="n"/>
      <c r="C162" s="34" t="n"/>
      <c r="D162" s="40" t="n"/>
      <c r="E162" s="40" t="n"/>
      <c r="F162" s="40" t="n"/>
      <c r="G162" s="40" t="n"/>
      <c r="H162" s="40" t="n"/>
      <c r="I162" s="40" t="n"/>
      <c r="J162" s="40" t="n"/>
      <c r="K162" s="34" t="n"/>
      <c r="L162" s="36">
        <f>IFERROR(C162/D162*1000,"")</f>
        <v/>
      </c>
      <c r="M162" s="41">
        <f>IFERROR(E162/D162,"")</f>
        <v/>
      </c>
      <c r="N162" s="41">
        <f>IFERROR(F162/D162,"")</f>
        <v/>
      </c>
      <c r="O162" s="42">
        <f>IFERROR(N162/M162,"")</f>
        <v/>
      </c>
      <c r="P162" s="36">
        <f>IFERROR(C162/F162,"")</f>
        <v/>
      </c>
      <c r="Q162" s="42">
        <f>IFERROR(G162/F162,"")</f>
        <v/>
      </c>
      <c r="R162" s="43">
        <f>IFERROR(H162/G162,"")</f>
        <v/>
      </c>
      <c r="S162" s="42">
        <f>IFERROR(I162/H162,"")</f>
        <v/>
      </c>
      <c r="T162" s="42">
        <f>IFERROR(J162/I162,"")</f>
        <v/>
      </c>
      <c r="U162" s="37">
        <f>IFERROR(K162/C162,"")</f>
        <v/>
      </c>
      <c r="V162" s="36">
        <f>IFERROR(C162/J162,"")</f>
        <v/>
      </c>
      <c r="W162" s="36">
        <f>IFERROR(K162/J162,"")</f>
        <v/>
      </c>
      <c r="X162" s="37">
        <f>IFERROR(INDEX('Client Economics'!$J$5:$J$34,MATCH(B162,'Client Economics'!$A$5:$A$34,0)),"")</f>
        <v/>
      </c>
      <c r="Y162" s="37">
        <f>IFERROR(U162/X162,"")</f>
        <v/>
      </c>
      <c r="Z162" s="44">
        <f>IF(D162="","",IF(N(M162)&lt;'KPI Benchmarks'!$D$5,"Attention",IF(N(O162)&lt;'KPI Benchmarks'!$D$6,"Interest",IF(N(Q162)&lt;'KPI Benchmarks'!$D$8,"Page load",IF(N(R162)&lt;'KPI Benchmarks'!$D$9,"Buying intent",IF(N(S162)&lt;'KPI Benchmarks'!$D$10,"Cart",IF(N(T162)&lt;'KPI Benchmarks'!$D$11,"Checkout",IF(X162="","Add economics",IF(N(Y162)&lt;'KPI Benchmarks'!$D$12,"Economics","Healthy – scale")))))))))</f>
        <v/>
      </c>
      <c r="AA162" s="27">
        <f>IF(Z162="","",IF(Z162="Healthy – scale","All stages pass. Add $10–20/day or a new audience; test new creatives beside the main campaign.",IF(Z162="Add economics","Add this client to Client Economics.",IFERROR(INDEX('KPI Benchmarks'!$G$5:$G$12,MATCH(Z162,'KPI Benchmarks'!$A$5:$A$12,0)),""))))</f>
        <v/>
      </c>
      <c r="AB162" s="13" t="n"/>
    </row>
    <row r="163">
      <c r="A163" s="14" t="n"/>
      <c r="B163" s="13" t="n"/>
      <c r="C163" s="34" t="n"/>
      <c r="D163" s="40" t="n"/>
      <c r="E163" s="40" t="n"/>
      <c r="F163" s="40" t="n"/>
      <c r="G163" s="40" t="n"/>
      <c r="H163" s="40" t="n"/>
      <c r="I163" s="40" t="n"/>
      <c r="J163" s="40" t="n"/>
      <c r="K163" s="34" t="n"/>
      <c r="L163" s="36">
        <f>IFERROR(C163/D163*1000,"")</f>
        <v/>
      </c>
      <c r="M163" s="41">
        <f>IFERROR(E163/D163,"")</f>
        <v/>
      </c>
      <c r="N163" s="41">
        <f>IFERROR(F163/D163,"")</f>
        <v/>
      </c>
      <c r="O163" s="42">
        <f>IFERROR(N163/M163,"")</f>
        <v/>
      </c>
      <c r="P163" s="36">
        <f>IFERROR(C163/F163,"")</f>
        <v/>
      </c>
      <c r="Q163" s="42">
        <f>IFERROR(G163/F163,"")</f>
        <v/>
      </c>
      <c r="R163" s="43">
        <f>IFERROR(H163/G163,"")</f>
        <v/>
      </c>
      <c r="S163" s="42">
        <f>IFERROR(I163/H163,"")</f>
        <v/>
      </c>
      <c r="T163" s="42">
        <f>IFERROR(J163/I163,"")</f>
        <v/>
      </c>
      <c r="U163" s="37">
        <f>IFERROR(K163/C163,"")</f>
        <v/>
      </c>
      <c r="V163" s="36">
        <f>IFERROR(C163/J163,"")</f>
        <v/>
      </c>
      <c r="W163" s="36">
        <f>IFERROR(K163/J163,"")</f>
        <v/>
      </c>
      <c r="X163" s="37">
        <f>IFERROR(INDEX('Client Economics'!$J$5:$J$34,MATCH(B163,'Client Economics'!$A$5:$A$34,0)),"")</f>
        <v/>
      </c>
      <c r="Y163" s="37">
        <f>IFERROR(U163/X163,"")</f>
        <v/>
      </c>
      <c r="Z163" s="44">
        <f>IF(D163="","",IF(N(M163)&lt;'KPI Benchmarks'!$D$5,"Attention",IF(N(O163)&lt;'KPI Benchmarks'!$D$6,"Interest",IF(N(Q163)&lt;'KPI Benchmarks'!$D$8,"Page load",IF(N(R163)&lt;'KPI Benchmarks'!$D$9,"Buying intent",IF(N(S163)&lt;'KPI Benchmarks'!$D$10,"Cart",IF(N(T163)&lt;'KPI Benchmarks'!$D$11,"Checkout",IF(X163="","Add economics",IF(N(Y163)&lt;'KPI Benchmarks'!$D$12,"Economics","Healthy – scale")))))))))</f>
        <v/>
      </c>
      <c r="AA163" s="27">
        <f>IF(Z163="","",IF(Z163="Healthy – scale","All stages pass. Add $10–20/day or a new audience; test new creatives beside the main campaign.",IF(Z163="Add economics","Add this client to Client Economics.",IFERROR(INDEX('KPI Benchmarks'!$G$5:$G$12,MATCH(Z163,'KPI Benchmarks'!$A$5:$A$12,0)),""))))</f>
        <v/>
      </c>
      <c r="AB163" s="13" t="n"/>
    </row>
    <row r="164">
      <c r="A164" s="14" t="n"/>
      <c r="B164" s="13" t="n"/>
      <c r="C164" s="34" t="n"/>
      <c r="D164" s="40" t="n"/>
      <c r="E164" s="40" t="n"/>
      <c r="F164" s="40" t="n"/>
      <c r="G164" s="40" t="n"/>
      <c r="H164" s="40" t="n"/>
      <c r="I164" s="40" t="n"/>
      <c r="J164" s="40" t="n"/>
      <c r="K164" s="34" t="n"/>
      <c r="L164" s="36">
        <f>IFERROR(C164/D164*1000,"")</f>
        <v/>
      </c>
      <c r="M164" s="41">
        <f>IFERROR(E164/D164,"")</f>
        <v/>
      </c>
      <c r="N164" s="41">
        <f>IFERROR(F164/D164,"")</f>
        <v/>
      </c>
      <c r="O164" s="42">
        <f>IFERROR(N164/M164,"")</f>
        <v/>
      </c>
      <c r="P164" s="36">
        <f>IFERROR(C164/F164,"")</f>
        <v/>
      </c>
      <c r="Q164" s="42">
        <f>IFERROR(G164/F164,"")</f>
        <v/>
      </c>
      <c r="R164" s="43">
        <f>IFERROR(H164/G164,"")</f>
        <v/>
      </c>
      <c r="S164" s="42">
        <f>IFERROR(I164/H164,"")</f>
        <v/>
      </c>
      <c r="T164" s="42">
        <f>IFERROR(J164/I164,"")</f>
        <v/>
      </c>
      <c r="U164" s="37">
        <f>IFERROR(K164/C164,"")</f>
        <v/>
      </c>
      <c r="V164" s="36">
        <f>IFERROR(C164/J164,"")</f>
        <v/>
      </c>
      <c r="W164" s="36">
        <f>IFERROR(K164/J164,"")</f>
        <v/>
      </c>
      <c r="X164" s="37">
        <f>IFERROR(INDEX('Client Economics'!$J$5:$J$34,MATCH(B164,'Client Economics'!$A$5:$A$34,0)),"")</f>
        <v/>
      </c>
      <c r="Y164" s="37">
        <f>IFERROR(U164/X164,"")</f>
        <v/>
      </c>
      <c r="Z164" s="44">
        <f>IF(D164="","",IF(N(M164)&lt;'KPI Benchmarks'!$D$5,"Attention",IF(N(O164)&lt;'KPI Benchmarks'!$D$6,"Interest",IF(N(Q164)&lt;'KPI Benchmarks'!$D$8,"Page load",IF(N(R164)&lt;'KPI Benchmarks'!$D$9,"Buying intent",IF(N(S164)&lt;'KPI Benchmarks'!$D$10,"Cart",IF(N(T164)&lt;'KPI Benchmarks'!$D$11,"Checkout",IF(X164="","Add economics",IF(N(Y164)&lt;'KPI Benchmarks'!$D$12,"Economics","Healthy – scale")))))))))</f>
        <v/>
      </c>
      <c r="AA164" s="27">
        <f>IF(Z164="","",IF(Z164="Healthy – scale","All stages pass. Add $10–20/day or a new audience; test new creatives beside the main campaign.",IF(Z164="Add economics","Add this client to Client Economics.",IFERROR(INDEX('KPI Benchmarks'!$G$5:$G$12,MATCH(Z164,'KPI Benchmarks'!$A$5:$A$12,0)),""))))</f>
        <v/>
      </c>
      <c r="AB164" s="13" t="n"/>
    </row>
    <row r="165">
      <c r="A165" s="14" t="n"/>
      <c r="B165" s="13" t="n"/>
      <c r="C165" s="34" t="n"/>
      <c r="D165" s="40" t="n"/>
      <c r="E165" s="40" t="n"/>
      <c r="F165" s="40" t="n"/>
      <c r="G165" s="40" t="n"/>
      <c r="H165" s="40" t="n"/>
      <c r="I165" s="40" t="n"/>
      <c r="J165" s="40" t="n"/>
      <c r="K165" s="34" t="n"/>
      <c r="L165" s="36">
        <f>IFERROR(C165/D165*1000,"")</f>
        <v/>
      </c>
      <c r="M165" s="41">
        <f>IFERROR(E165/D165,"")</f>
        <v/>
      </c>
      <c r="N165" s="41">
        <f>IFERROR(F165/D165,"")</f>
        <v/>
      </c>
      <c r="O165" s="42">
        <f>IFERROR(N165/M165,"")</f>
        <v/>
      </c>
      <c r="P165" s="36">
        <f>IFERROR(C165/F165,"")</f>
        <v/>
      </c>
      <c r="Q165" s="42">
        <f>IFERROR(G165/F165,"")</f>
        <v/>
      </c>
      <c r="R165" s="43">
        <f>IFERROR(H165/G165,"")</f>
        <v/>
      </c>
      <c r="S165" s="42">
        <f>IFERROR(I165/H165,"")</f>
        <v/>
      </c>
      <c r="T165" s="42">
        <f>IFERROR(J165/I165,"")</f>
        <v/>
      </c>
      <c r="U165" s="37">
        <f>IFERROR(K165/C165,"")</f>
        <v/>
      </c>
      <c r="V165" s="36">
        <f>IFERROR(C165/J165,"")</f>
        <v/>
      </c>
      <c r="W165" s="36">
        <f>IFERROR(K165/J165,"")</f>
        <v/>
      </c>
      <c r="X165" s="37">
        <f>IFERROR(INDEX('Client Economics'!$J$5:$J$34,MATCH(B165,'Client Economics'!$A$5:$A$34,0)),"")</f>
        <v/>
      </c>
      <c r="Y165" s="37">
        <f>IFERROR(U165/X165,"")</f>
        <v/>
      </c>
      <c r="Z165" s="44">
        <f>IF(D165="","",IF(N(M165)&lt;'KPI Benchmarks'!$D$5,"Attention",IF(N(O165)&lt;'KPI Benchmarks'!$D$6,"Interest",IF(N(Q165)&lt;'KPI Benchmarks'!$D$8,"Page load",IF(N(R165)&lt;'KPI Benchmarks'!$D$9,"Buying intent",IF(N(S165)&lt;'KPI Benchmarks'!$D$10,"Cart",IF(N(T165)&lt;'KPI Benchmarks'!$D$11,"Checkout",IF(X165="","Add economics",IF(N(Y165)&lt;'KPI Benchmarks'!$D$12,"Economics","Healthy – scale")))))))))</f>
        <v/>
      </c>
      <c r="AA165" s="27">
        <f>IF(Z165="","",IF(Z165="Healthy – scale","All stages pass. Add $10–20/day or a new audience; test new creatives beside the main campaign.",IF(Z165="Add economics","Add this client to Client Economics.",IFERROR(INDEX('KPI Benchmarks'!$G$5:$G$12,MATCH(Z165,'KPI Benchmarks'!$A$5:$A$12,0)),""))))</f>
        <v/>
      </c>
      <c r="AB165" s="13" t="n"/>
    </row>
    <row r="166">
      <c r="A166" s="14" t="n"/>
      <c r="B166" s="13" t="n"/>
      <c r="C166" s="34" t="n"/>
      <c r="D166" s="40" t="n"/>
      <c r="E166" s="40" t="n"/>
      <c r="F166" s="40" t="n"/>
      <c r="G166" s="40" t="n"/>
      <c r="H166" s="40" t="n"/>
      <c r="I166" s="40" t="n"/>
      <c r="J166" s="40" t="n"/>
      <c r="K166" s="34" t="n"/>
      <c r="L166" s="36">
        <f>IFERROR(C166/D166*1000,"")</f>
        <v/>
      </c>
      <c r="M166" s="41">
        <f>IFERROR(E166/D166,"")</f>
        <v/>
      </c>
      <c r="N166" s="41">
        <f>IFERROR(F166/D166,"")</f>
        <v/>
      </c>
      <c r="O166" s="42">
        <f>IFERROR(N166/M166,"")</f>
        <v/>
      </c>
      <c r="P166" s="36">
        <f>IFERROR(C166/F166,"")</f>
        <v/>
      </c>
      <c r="Q166" s="42">
        <f>IFERROR(G166/F166,"")</f>
        <v/>
      </c>
      <c r="R166" s="43">
        <f>IFERROR(H166/G166,"")</f>
        <v/>
      </c>
      <c r="S166" s="42">
        <f>IFERROR(I166/H166,"")</f>
        <v/>
      </c>
      <c r="T166" s="42">
        <f>IFERROR(J166/I166,"")</f>
        <v/>
      </c>
      <c r="U166" s="37">
        <f>IFERROR(K166/C166,"")</f>
        <v/>
      </c>
      <c r="V166" s="36">
        <f>IFERROR(C166/J166,"")</f>
        <v/>
      </c>
      <c r="W166" s="36">
        <f>IFERROR(K166/J166,"")</f>
        <v/>
      </c>
      <c r="X166" s="37">
        <f>IFERROR(INDEX('Client Economics'!$J$5:$J$34,MATCH(B166,'Client Economics'!$A$5:$A$34,0)),"")</f>
        <v/>
      </c>
      <c r="Y166" s="37">
        <f>IFERROR(U166/X166,"")</f>
        <v/>
      </c>
      <c r="Z166" s="44">
        <f>IF(D166="","",IF(N(M166)&lt;'KPI Benchmarks'!$D$5,"Attention",IF(N(O166)&lt;'KPI Benchmarks'!$D$6,"Interest",IF(N(Q166)&lt;'KPI Benchmarks'!$D$8,"Page load",IF(N(R166)&lt;'KPI Benchmarks'!$D$9,"Buying intent",IF(N(S166)&lt;'KPI Benchmarks'!$D$10,"Cart",IF(N(T166)&lt;'KPI Benchmarks'!$D$11,"Checkout",IF(X166="","Add economics",IF(N(Y166)&lt;'KPI Benchmarks'!$D$12,"Economics","Healthy – scale")))))))))</f>
        <v/>
      </c>
      <c r="AA166" s="27">
        <f>IF(Z166="","",IF(Z166="Healthy – scale","All stages pass. Add $10–20/day or a new audience; test new creatives beside the main campaign.",IF(Z166="Add economics","Add this client to Client Economics.",IFERROR(INDEX('KPI Benchmarks'!$G$5:$G$12,MATCH(Z166,'KPI Benchmarks'!$A$5:$A$12,0)),""))))</f>
        <v/>
      </c>
      <c r="AB166" s="13" t="n"/>
    </row>
    <row r="167">
      <c r="A167" s="14" t="n"/>
      <c r="B167" s="13" t="n"/>
      <c r="C167" s="34" t="n"/>
      <c r="D167" s="40" t="n"/>
      <c r="E167" s="40" t="n"/>
      <c r="F167" s="40" t="n"/>
      <c r="G167" s="40" t="n"/>
      <c r="H167" s="40" t="n"/>
      <c r="I167" s="40" t="n"/>
      <c r="J167" s="40" t="n"/>
      <c r="K167" s="34" t="n"/>
      <c r="L167" s="36">
        <f>IFERROR(C167/D167*1000,"")</f>
        <v/>
      </c>
      <c r="M167" s="41">
        <f>IFERROR(E167/D167,"")</f>
        <v/>
      </c>
      <c r="N167" s="41">
        <f>IFERROR(F167/D167,"")</f>
        <v/>
      </c>
      <c r="O167" s="42">
        <f>IFERROR(N167/M167,"")</f>
        <v/>
      </c>
      <c r="P167" s="36">
        <f>IFERROR(C167/F167,"")</f>
        <v/>
      </c>
      <c r="Q167" s="42">
        <f>IFERROR(G167/F167,"")</f>
        <v/>
      </c>
      <c r="R167" s="43">
        <f>IFERROR(H167/G167,"")</f>
        <v/>
      </c>
      <c r="S167" s="42">
        <f>IFERROR(I167/H167,"")</f>
        <v/>
      </c>
      <c r="T167" s="42">
        <f>IFERROR(J167/I167,"")</f>
        <v/>
      </c>
      <c r="U167" s="37">
        <f>IFERROR(K167/C167,"")</f>
        <v/>
      </c>
      <c r="V167" s="36">
        <f>IFERROR(C167/J167,"")</f>
        <v/>
      </c>
      <c r="W167" s="36">
        <f>IFERROR(K167/J167,"")</f>
        <v/>
      </c>
      <c r="X167" s="37">
        <f>IFERROR(INDEX('Client Economics'!$J$5:$J$34,MATCH(B167,'Client Economics'!$A$5:$A$34,0)),"")</f>
        <v/>
      </c>
      <c r="Y167" s="37">
        <f>IFERROR(U167/X167,"")</f>
        <v/>
      </c>
      <c r="Z167" s="44">
        <f>IF(D167="","",IF(N(M167)&lt;'KPI Benchmarks'!$D$5,"Attention",IF(N(O167)&lt;'KPI Benchmarks'!$D$6,"Interest",IF(N(Q167)&lt;'KPI Benchmarks'!$D$8,"Page load",IF(N(R167)&lt;'KPI Benchmarks'!$D$9,"Buying intent",IF(N(S167)&lt;'KPI Benchmarks'!$D$10,"Cart",IF(N(T167)&lt;'KPI Benchmarks'!$D$11,"Checkout",IF(X167="","Add economics",IF(N(Y167)&lt;'KPI Benchmarks'!$D$12,"Economics","Healthy – scale")))))))))</f>
        <v/>
      </c>
      <c r="AA167" s="27">
        <f>IF(Z167="","",IF(Z167="Healthy – scale","All stages pass. Add $10–20/day or a new audience; test new creatives beside the main campaign.",IF(Z167="Add economics","Add this client to Client Economics.",IFERROR(INDEX('KPI Benchmarks'!$G$5:$G$12,MATCH(Z167,'KPI Benchmarks'!$A$5:$A$12,0)),""))))</f>
        <v/>
      </c>
      <c r="AB167" s="13" t="n"/>
    </row>
    <row r="168">
      <c r="A168" s="14" t="n"/>
      <c r="B168" s="13" t="n"/>
      <c r="C168" s="34" t="n"/>
      <c r="D168" s="40" t="n"/>
      <c r="E168" s="40" t="n"/>
      <c r="F168" s="40" t="n"/>
      <c r="G168" s="40" t="n"/>
      <c r="H168" s="40" t="n"/>
      <c r="I168" s="40" t="n"/>
      <c r="J168" s="40" t="n"/>
      <c r="K168" s="34" t="n"/>
      <c r="L168" s="36">
        <f>IFERROR(C168/D168*1000,"")</f>
        <v/>
      </c>
      <c r="M168" s="41">
        <f>IFERROR(E168/D168,"")</f>
        <v/>
      </c>
      <c r="N168" s="41">
        <f>IFERROR(F168/D168,"")</f>
        <v/>
      </c>
      <c r="O168" s="42">
        <f>IFERROR(N168/M168,"")</f>
        <v/>
      </c>
      <c r="P168" s="36">
        <f>IFERROR(C168/F168,"")</f>
        <v/>
      </c>
      <c r="Q168" s="42">
        <f>IFERROR(G168/F168,"")</f>
        <v/>
      </c>
      <c r="R168" s="43">
        <f>IFERROR(H168/G168,"")</f>
        <v/>
      </c>
      <c r="S168" s="42">
        <f>IFERROR(I168/H168,"")</f>
        <v/>
      </c>
      <c r="T168" s="42">
        <f>IFERROR(J168/I168,"")</f>
        <v/>
      </c>
      <c r="U168" s="37">
        <f>IFERROR(K168/C168,"")</f>
        <v/>
      </c>
      <c r="V168" s="36">
        <f>IFERROR(C168/J168,"")</f>
        <v/>
      </c>
      <c r="W168" s="36">
        <f>IFERROR(K168/J168,"")</f>
        <v/>
      </c>
      <c r="X168" s="37">
        <f>IFERROR(INDEX('Client Economics'!$J$5:$J$34,MATCH(B168,'Client Economics'!$A$5:$A$34,0)),"")</f>
        <v/>
      </c>
      <c r="Y168" s="37">
        <f>IFERROR(U168/X168,"")</f>
        <v/>
      </c>
      <c r="Z168" s="44">
        <f>IF(D168="","",IF(N(M168)&lt;'KPI Benchmarks'!$D$5,"Attention",IF(N(O168)&lt;'KPI Benchmarks'!$D$6,"Interest",IF(N(Q168)&lt;'KPI Benchmarks'!$D$8,"Page load",IF(N(R168)&lt;'KPI Benchmarks'!$D$9,"Buying intent",IF(N(S168)&lt;'KPI Benchmarks'!$D$10,"Cart",IF(N(T168)&lt;'KPI Benchmarks'!$D$11,"Checkout",IF(X168="","Add economics",IF(N(Y168)&lt;'KPI Benchmarks'!$D$12,"Economics","Healthy – scale")))))))))</f>
        <v/>
      </c>
      <c r="AA168" s="27">
        <f>IF(Z168="","",IF(Z168="Healthy – scale","All stages pass. Add $10–20/day or a new audience; test new creatives beside the main campaign.",IF(Z168="Add economics","Add this client to Client Economics.",IFERROR(INDEX('KPI Benchmarks'!$G$5:$G$12,MATCH(Z168,'KPI Benchmarks'!$A$5:$A$12,0)),""))))</f>
        <v/>
      </c>
      <c r="AB168" s="13" t="n"/>
    </row>
    <row r="169">
      <c r="A169" s="14" t="n"/>
      <c r="B169" s="13" t="n"/>
      <c r="C169" s="34" t="n"/>
      <c r="D169" s="40" t="n"/>
      <c r="E169" s="40" t="n"/>
      <c r="F169" s="40" t="n"/>
      <c r="G169" s="40" t="n"/>
      <c r="H169" s="40" t="n"/>
      <c r="I169" s="40" t="n"/>
      <c r="J169" s="40" t="n"/>
      <c r="K169" s="34" t="n"/>
      <c r="L169" s="36">
        <f>IFERROR(C169/D169*1000,"")</f>
        <v/>
      </c>
      <c r="M169" s="41">
        <f>IFERROR(E169/D169,"")</f>
        <v/>
      </c>
      <c r="N169" s="41">
        <f>IFERROR(F169/D169,"")</f>
        <v/>
      </c>
      <c r="O169" s="42">
        <f>IFERROR(N169/M169,"")</f>
        <v/>
      </c>
      <c r="P169" s="36">
        <f>IFERROR(C169/F169,"")</f>
        <v/>
      </c>
      <c r="Q169" s="42">
        <f>IFERROR(G169/F169,"")</f>
        <v/>
      </c>
      <c r="R169" s="43">
        <f>IFERROR(H169/G169,"")</f>
        <v/>
      </c>
      <c r="S169" s="42">
        <f>IFERROR(I169/H169,"")</f>
        <v/>
      </c>
      <c r="T169" s="42">
        <f>IFERROR(J169/I169,"")</f>
        <v/>
      </c>
      <c r="U169" s="37">
        <f>IFERROR(K169/C169,"")</f>
        <v/>
      </c>
      <c r="V169" s="36">
        <f>IFERROR(C169/J169,"")</f>
        <v/>
      </c>
      <c r="W169" s="36">
        <f>IFERROR(K169/J169,"")</f>
        <v/>
      </c>
      <c r="X169" s="37">
        <f>IFERROR(INDEX('Client Economics'!$J$5:$J$34,MATCH(B169,'Client Economics'!$A$5:$A$34,0)),"")</f>
        <v/>
      </c>
      <c r="Y169" s="37">
        <f>IFERROR(U169/X169,"")</f>
        <v/>
      </c>
      <c r="Z169" s="44">
        <f>IF(D169="","",IF(N(M169)&lt;'KPI Benchmarks'!$D$5,"Attention",IF(N(O169)&lt;'KPI Benchmarks'!$D$6,"Interest",IF(N(Q169)&lt;'KPI Benchmarks'!$D$8,"Page load",IF(N(R169)&lt;'KPI Benchmarks'!$D$9,"Buying intent",IF(N(S169)&lt;'KPI Benchmarks'!$D$10,"Cart",IF(N(T169)&lt;'KPI Benchmarks'!$D$11,"Checkout",IF(X169="","Add economics",IF(N(Y169)&lt;'KPI Benchmarks'!$D$12,"Economics","Healthy – scale")))))))))</f>
        <v/>
      </c>
      <c r="AA169" s="27">
        <f>IF(Z169="","",IF(Z169="Healthy – scale","All stages pass. Add $10–20/day or a new audience; test new creatives beside the main campaign.",IF(Z169="Add economics","Add this client to Client Economics.",IFERROR(INDEX('KPI Benchmarks'!$G$5:$G$12,MATCH(Z169,'KPI Benchmarks'!$A$5:$A$12,0)),""))))</f>
        <v/>
      </c>
      <c r="AB169" s="13" t="n"/>
    </row>
    <row r="170">
      <c r="A170" s="14" t="n"/>
      <c r="B170" s="13" t="n"/>
      <c r="C170" s="34" t="n"/>
      <c r="D170" s="40" t="n"/>
      <c r="E170" s="40" t="n"/>
      <c r="F170" s="40" t="n"/>
      <c r="G170" s="40" t="n"/>
      <c r="H170" s="40" t="n"/>
      <c r="I170" s="40" t="n"/>
      <c r="J170" s="40" t="n"/>
      <c r="K170" s="34" t="n"/>
      <c r="L170" s="36">
        <f>IFERROR(C170/D170*1000,"")</f>
        <v/>
      </c>
      <c r="M170" s="41">
        <f>IFERROR(E170/D170,"")</f>
        <v/>
      </c>
      <c r="N170" s="41">
        <f>IFERROR(F170/D170,"")</f>
        <v/>
      </c>
      <c r="O170" s="42">
        <f>IFERROR(N170/M170,"")</f>
        <v/>
      </c>
      <c r="P170" s="36">
        <f>IFERROR(C170/F170,"")</f>
        <v/>
      </c>
      <c r="Q170" s="42">
        <f>IFERROR(G170/F170,"")</f>
        <v/>
      </c>
      <c r="R170" s="43">
        <f>IFERROR(H170/G170,"")</f>
        <v/>
      </c>
      <c r="S170" s="42">
        <f>IFERROR(I170/H170,"")</f>
        <v/>
      </c>
      <c r="T170" s="42">
        <f>IFERROR(J170/I170,"")</f>
        <v/>
      </c>
      <c r="U170" s="37">
        <f>IFERROR(K170/C170,"")</f>
        <v/>
      </c>
      <c r="V170" s="36">
        <f>IFERROR(C170/J170,"")</f>
        <v/>
      </c>
      <c r="W170" s="36">
        <f>IFERROR(K170/J170,"")</f>
        <v/>
      </c>
      <c r="X170" s="37">
        <f>IFERROR(INDEX('Client Economics'!$J$5:$J$34,MATCH(B170,'Client Economics'!$A$5:$A$34,0)),"")</f>
        <v/>
      </c>
      <c r="Y170" s="37">
        <f>IFERROR(U170/X170,"")</f>
        <v/>
      </c>
      <c r="Z170" s="44">
        <f>IF(D170="","",IF(N(M170)&lt;'KPI Benchmarks'!$D$5,"Attention",IF(N(O170)&lt;'KPI Benchmarks'!$D$6,"Interest",IF(N(Q170)&lt;'KPI Benchmarks'!$D$8,"Page load",IF(N(R170)&lt;'KPI Benchmarks'!$D$9,"Buying intent",IF(N(S170)&lt;'KPI Benchmarks'!$D$10,"Cart",IF(N(T170)&lt;'KPI Benchmarks'!$D$11,"Checkout",IF(X170="","Add economics",IF(N(Y170)&lt;'KPI Benchmarks'!$D$12,"Economics","Healthy – scale")))))))))</f>
        <v/>
      </c>
      <c r="AA170" s="27">
        <f>IF(Z170="","",IF(Z170="Healthy – scale","All stages pass. Add $10–20/day or a new audience; test new creatives beside the main campaign.",IF(Z170="Add economics","Add this client to Client Economics.",IFERROR(INDEX('KPI Benchmarks'!$G$5:$G$12,MATCH(Z170,'KPI Benchmarks'!$A$5:$A$12,0)),""))))</f>
        <v/>
      </c>
      <c r="AB170" s="13" t="n"/>
    </row>
    <row r="171">
      <c r="A171" s="14" t="n"/>
      <c r="B171" s="13" t="n"/>
      <c r="C171" s="34" t="n"/>
      <c r="D171" s="40" t="n"/>
      <c r="E171" s="40" t="n"/>
      <c r="F171" s="40" t="n"/>
      <c r="G171" s="40" t="n"/>
      <c r="H171" s="40" t="n"/>
      <c r="I171" s="40" t="n"/>
      <c r="J171" s="40" t="n"/>
      <c r="K171" s="34" t="n"/>
      <c r="L171" s="36">
        <f>IFERROR(C171/D171*1000,"")</f>
        <v/>
      </c>
      <c r="M171" s="41">
        <f>IFERROR(E171/D171,"")</f>
        <v/>
      </c>
      <c r="N171" s="41">
        <f>IFERROR(F171/D171,"")</f>
        <v/>
      </c>
      <c r="O171" s="42">
        <f>IFERROR(N171/M171,"")</f>
        <v/>
      </c>
      <c r="P171" s="36">
        <f>IFERROR(C171/F171,"")</f>
        <v/>
      </c>
      <c r="Q171" s="42">
        <f>IFERROR(G171/F171,"")</f>
        <v/>
      </c>
      <c r="R171" s="43">
        <f>IFERROR(H171/G171,"")</f>
        <v/>
      </c>
      <c r="S171" s="42">
        <f>IFERROR(I171/H171,"")</f>
        <v/>
      </c>
      <c r="T171" s="42">
        <f>IFERROR(J171/I171,"")</f>
        <v/>
      </c>
      <c r="U171" s="37">
        <f>IFERROR(K171/C171,"")</f>
        <v/>
      </c>
      <c r="V171" s="36">
        <f>IFERROR(C171/J171,"")</f>
        <v/>
      </c>
      <c r="W171" s="36">
        <f>IFERROR(K171/J171,"")</f>
        <v/>
      </c>
      <c r="X171" s="37">
        <f>IFERROR(INDEX('Client Economics'!$J$5:$J$34,MATCH(B171,'Client Economics'!$A$5:$A$34,0)),"")</f>
        <v/>
      </c>
      <c r="Y171" s="37">
        <f>IFERROR(U171/X171,"")</f>
        <v/>
      </c>
      <c r="Z171" s="44">
        <f>IF(D171="","",IF(N(M171)&lt;'KPI Benchmarks'!$D$5,"Attention",IF(N(O171)&lt;'KPI Benchmarks'!$D$6,"Interest",IF(N(Q171)&lt;'KPI Benchmarks'!$D$8,"Page load",IF(N(R171)&lt;'KPI Benchmarks'!$D$9,"Buying intent",IF(N(S171)&lt;'KPI Benchmarks'!$D$10,"Cart",IF(N(T171)&lt;'KPI Benchmarks'!$D$11,"Checkout",IF(X171="","Add economics",IF(N(Y171)&lt;'KPI Benchmarks'!$D$12,"Economics","Healthy – scale")))))))))</f>
        <v/>
      </c>
      <c r="AA171" s="27">
        <f>IF(Z171="","",IF(Z171="Healthy – scale","All stages pass. Add $10–20/day or a new audience; test new creatives beside the main campaign.",IF(Z171="Add economics","Add this client to Client Economics.",IFERROR(INDEX('KPI Benchmarks'!$G$5:$G$12,MATCH(Z171,'KPI Benchmarks'!$A$5:$A$12,0)),""))))</f>
        <v/>
      </c>
      <c r="AB171" s="13" t="n"/>
    </row>
    <row r="172">
      <c r="A172" s="14" t="n"/>
      <c r="B172" s="13" t="n"/>
      <c r="C172" s="34" t="n"/>
      <c r="D172" s="40" t="n"/>
      <c r="E172" s="40" t="n"/>
      <c r="F172" s="40" t="n"/>
      <c r="G172" s="40" t="n"/>
      <c r="H172" s="40" t="n"/>
      <c r="I172" s="40" t="n"/>
      <c r="J172" s="40" t="n"/>
      <c r="K172" s="34" t="n"/>
      <c r="L172" s="36">
        <f>IFERROR(C172/D172*1000,"")</f>
        <v/>
      </c>
      <c r="M172" s="41">
        <f>IFERROR(E172/D172,"")</f>
        <v/>
      </c>
      <c r="N172" s="41">
        <f>IFERROR(F172/D172,"")</f>
        <v/>
      </c>
      <c r="O172" s="42">
        <f>IFERROR(N172/M172,"")</f>
        <v/>
      </c>
      <c r="P172" s="36">
        <f>IFERROR(C172/F172,"")</f>
        <v/>
      </c>
      <c r="Q172" s="42">
        <f>IFERROR(G172/F172,"")</f>
        <v/>
      </c>
      <c r="R172" s="43">
        <f>IFERROR(H172/G172,"")</f>
        <v/>
      </c>
      <c r="S172" s="42">
        <f>IFERROR(I172/H172,"")</f>
        <v/>
      </c>
      <c r="T172" s="42">
        <f>IFERROR(J172/I172,"")</f>
        <v/>
      </c>
      <c r="U172" s="37">
        <f>IFERROR(K172/C172,"")</f>
        <v/>
      </c>
      <c r="V172" s="36">
        <f>IFERROR(C172/J172,"")</f>
        <v/>
      </c>
      <c r="W172" s="36">
        <f>IFERROR(K172/J172,"")</f>
        <v/>
      </c>
      <c r="X172" s="37">
        <f>IFERROR(INDEX('Client Economics'!$J$5:$J$34,MATCH(B172,'Client Economics'!$A$5:$A$34,0)),"")</f>
        <v/>
      </c>
      <c r="Y172" s="37">
        <f>IFERROR(U172/X172,"")</f>
        <v/>
      </c>
      <c r="Z172" s="44">
        <f>IF(D172="","",IF(N(M172)&lt;'KPI Benchmarks'!$D$5,"Attention",IF(N(O172)&lt;'KPI Benchmarks'!$D$6,"Interest",IF(N(Q172)&lt;'KPI Benchmarks'!$D$8,"Page load",IF(N(R172)&lt;'KPI Benchmarks'!$D$9,"Buying intent",IF(N(S172)&lt;'KPI Benchmarks'!$D$10,"Cart",IF(N(T172)&lt;'KPI Benchmarks'!$D$11,"Checkout",IF(X172="","Add economics",IF(N(Y172)&lt;'KPI Benchmarks'!$D$12,"Economics","Healthy – scale")))))))))</f>
        <v/>
      </c>
      <c r="AA172" s="27">
        <f>IF(Z172="","",IF(Z172="Healthy – scale","All stages pass. Add $10–20/day or a new audience; test new creatives beside the main campaign.",IF(Z172="Add economics","Add this client to Client Economics.",IFERROR(INDEX('KPI Benchmarks'!$G$5:$G$12,MATCH(Z172,'KPI Benchmarks'!$A$5:$A$12,0)),""))))</f>
        <v/>
      </c>
      <c r="AB172" s="13" t="n"/>
    </row>
    <row r="173">
      <c r="A173" s="14" t="n"/>
      <c r="B173" s="13" t="n"/>
      <c r="C173" s="34" t="n"/>
      <c r="D173" s="40" t="n"/>
      <c r="E173" s="40" t="n"/>
      <c r="F173" s="40" t="n"/>
      <c r="G173" s="40" t="n"/>
      <c r="H173" s="40" t="n"/>
      <c r="I173" s="40" t="n"/>
      <c r="J173" s="40" t="n"/>
      <c r="K173" s="34" t="n"/>
      <c r="L173" s="36">
        <f>IFERROR(C173/D173*1000,"")</f>
        <v/>
      </c>
      <c r="M173" s="41">
        <f>IFERROR(E173/D173,"")</f>
        <v/>
      </c>
      <c r="N173" s="41">
        <f>IFERROR(F173/D173,"")</f>
        <v/>
      </c>
      <c r="O173" s="42">
        <f>IFERROR(N173/M173,"")</f>
        <v/>
      </c>
      <c r="P173" s="36">
        <f>IFERROR(C173/F173,"")</f>
        <v/>
      </c>
      <c r="Q173" s="42">
        <f>IFERROR(G173/F173,"")</f>
        <v/>
      </c>
      <c r="R173" s="43">
        <f>IFERROR(H173/G173,"")</f>
        <v/>
      </c>
      <c r="S173" s="42">
        <f>IFERROR(I173/H173,"")</f>
        <v/>
      </c>
      <c r="T173" s="42">
        <f>IFERROR(J173/I173,"")</f>
        <v/>
      </c>
      <c r="U173" s="37">
        <f>IFERROR(K173/C173,"")</f>
        <v/>
      </c>
      <c r="V173" s="36">
        <f>IFERROR(C173/J173,"")</f>
        <v/>
      </c>
      <c r="W173" s="36">
        <f>IFERROR(K173/J173,"")</f>
        <v/>
      </c>
      <c r="X173" s="37">
        <f>IFERROR(INDEX('Client Economics'!$J$5:$J$34,MATCH(B173,'Client Economics'!$A$5:$A$34,0)),"")</f>
        <v/>
      </c>
      <c r="Y173" s="37">
        <f>IFERROR(U173/X173,"")</f>
        <v/>
      </c>
      <c r="Z173" s="44">
        <f>IF(D173="","",IF(N(M173)&lt;'KPI Benchmarks'!$D$5,"Attention",IF(N(O173)&lt;'KPI Benchmarks'!$D$6,"Interest",IF(N(Q173)&lt;'KPI Benchmarks'!$D$8,"Page load",IF(N(R173)&lt;'KPI Benchmarks'!$D$9,"Buying intent",IF(N(S173)&lt;'KPI Benchmarks'!$D$10,"Cart",IF(N(T173)&lt;'KPI Benchmarks'!$D$11,"Checkout",IF(X173="","Add economics",IF(N(Y173)&lt;'KPI Benchmarks'!$D$12,"Economics","Healthy – scale")))))))))</f>
        <v/>
      </c>
      <c r="AA173" s="27">
        <f>IF(Z173="","",IF(Z173="Healthy – scale","All stages pass. Add $10–20/day or a new audience; test new creatives beside the main campaign.",IF(Z173="Add economics","Add this client to Client Economics.",IFERROR(INDEX('KPI Benchmarks'!$G$5:$G$12,MATCH(Z173,'KPI Benchmarks'!$A$5:$A$12,0)),""))))</f>
        <v/>
      </c>
      <c r="AB173" s="13" t="n"/>
    </row>
    <row r="174">
      <c r="A174" s="14" t="n"/>
      <c r="B174" s="13" t="n"/>
      <c r="C174" s="34" t="n"/>
      <c r="D174" s="40" t="n"/>
      <c r="E174" s="40" t="n"/>
      <c r="F174" s="40" t="n"/>
      <c r="G174" s="40" t="n"/>
      <c r="H174" s="40" t="n"/>
      <c r="I174" s="40" t="n"/>
      <c r="J174" s="40" t="n"/>
      <c r="K174" s="34" t="n"/>
      <c r="L174" s="36">
        <f>IFERROR(C174/D174*1000,"")</f>
        <v/>
      </c>
      <c r="M174" s="41">
        <f>IFERROR(E174/D174,"")</f>
        <v/>
      </c>
      <c r="N174" s="41">
        <f>IFERROR(F174/D174,"")</f>
        <v/>
      </c>
      <c r="O174" s="42">
        <f>IFERROR(N174/M174,"")</f>
        <v/>
      </c>
      <c r="P174" s="36">
        <f>IFERROR(C174/F174,"")</f>
        <v/>
      </c>
      <c r="Q174" s="42">
        <f>IFERROR(G174/F174,"")</f>
        <v/>
      </c>
      <c r="R174" s="43">
        <f>IFERROR(H174/G174,"")</f>
        <v/>
      </c>
      <c r="S174" s="42">
        <f>IFERROR(I174/H174,"")</f>
        <v/>
      </c>
      <c r="T174" s="42">
        <f>IFERROR(J174/I174,"")</f>
        <v/>
      </c>
      <c r="U174" s="37">
        <f>IFERROR(K174/C174,"")</f>
        <v/>
      </c>
      <c r="V174" s="36">
        <f>IFERROR(C174/J174,"")</f>
        <v/>
      </c>
      <c r="W174" s="36">
        <f>IFERROR(K174/J174,"")</f>
        <v/>
      </c>
      <c r="X174" s="37">
        <f>IFERROR(INDEX('Client Economics'!$J$5:$J$34,MATCH(B174,'Client Economics'!$A$5:$A$34,0)),"")</f>
        <v/>
      </c>
      <c r="Y174" s="37">
        <f>IFERROR(U174/X174,"")</f>
        <v/>
      </c>
      <c r="Z174" s="44">
        <f>IF(D174="","",IF(N(M174)&lt;'KPI Benchmarks'!$D$5,"Attention",IF(N(O174)&lt;'KPI Benchmarks'!$D$6,"Interest",IF(N(Q174)&lt;'KPI Benchmarks'!$D$8,"Page load",IF(N(R174)&lt;'KPI Benchmarks'!$D$9,"Buying intent",IF(N(S174)&lt;'KPI Benchmarks'!$D$10,"Cart",IF(N(T174)&lt;'KPI Benchmarks'!$D$11,"Checkout",IF(X174="","Add economics",IF(N(Y174)&lt;'KPI Benchmarks'!$D$12,"Economics","Healthy – scale")))))))))</f>
        <v/>
      </c>
      <c r="AA174" s="27">
        <f>IF(Z174="","",IF(Z174="Healthy – scale","All stages pass. Add $10–20/day or a new audience; test new creatives beside the main campaign.",IF(Z174="Add economics","Add this client to Client Economics.",IFERROR(INDEX('KPI Benchmarks'!$G$5:$G$12,MATCH(Z174,'KPI Benchmarks'!$A$5:$A$12,0)),""))))</f>
        <v/>
      </c>
      <c r="AB174" s="13" t="n"/>
    </row>
    <row r="175">
      <c r="A175" s="14" t="n"/>
      <c r="B175" s="13" t="n"/>
      <c r="C175" s="34" t="n"/>
      <c r="D175" s="40" t="n"/>
      <c r="E175" s="40" t="n"/>
      <c r="F175" s="40" t="n"/>
      <c r="G175" s="40" t="n"/>
      <c r="H175" s="40" t="n"/>
      <c r="I175" s="40" t="n"/>
      <c r="J175" s="40" t="n"/>
      <c r="K175" s="34" t="n"/>
      <c r="L175" s="36">
        <f>IFERROR(C175/D175*1000,"")</f>
        <v/>
      </c>
      <c r="M175" s="41">
        <f>IFERROR(E175/D175,"")</f>
        <v/>
      </c>
      <c r="N175" s="41">
        <f>IFERROR(F175/D175,"")</f>
        <v/>
      </c>
      <c r="O175" s="42">
        <f>IFERROR(N175/M175,"")</f>
        <v/>
      </c>
      <c r="P175" s="36">
        <f>IFERROR(C175/F175,"")</f>
        <v/>
      </c>
      <c r="Q175" s="42">
        <f>IFERROR(G175/F175,"")</f>
        <v/>
      </c>
      <c r="R175" s="43">
        <f>IFERROR(H175/G175,"")</f>
        <v/>
      </c>
      <c r="S175" s="42">
        <f>IFERROR(I175/H175,"")</f>
        <v/>
      </c>
      <c r="T175" s="42">
        <f>IFERROR(J175/I175,"")</f>
        <v/>
      </c>
      <c r="U175" s="37">
        <f>IFERROR(K175/C175,"")</f>
        <v/>
      </c>
      <c r="V175" s="36">
        <f>IFERROR(C175/J175,"")</f>
        <v/>
      </c>
      <c r="W175" s="36">
        <f>IFERROR(K175/J175,"")</f>
        <v/>
      </c>
      <c r="X175" s="37">
        <f>IFERROR(INDEX('Client Economics'!$J$5:$J$34,MATCH(B175,'Client Economics'!$A$5:$A$34,0)),"")</f>
        <v/>
      </c>
      <c r="Y175" s="37">
        <f>IFERROR(U175/X175,"")</f>
        <v/>
      </c>
      <c r="Z175" s="44">
        <f>IF(D175="","",IF(N(M175)&lt;'KPI Benchmarks'!$D$5,"Attention",IF(N(O175)&lt;'KPI Benchmarks'!$D$6,"Interest",IF(N(Q175)&lt;'KPI Benchmarks'!$D$8,"Page load",IF(N(R175)&lt;'KPI Benchmarks'!$D$9,"Buying intent",IF(N(S175)&lt;'KPI Benchmarks'!$D$10,"Cart",IF(N(T175)&lt;'KPI Benchmarks'!$D$11,"Checkout",IF(X175="","Add economics",IF(N(Y175)&lt;'KPI Benchmarks'!$D$12,"Economics","Healthy – scale")))))))))</f>
        <v/>
      </c>
      <c r="AA175" s="27">
        <f>IF(Z175="","",IF(Z175="Healthy – scale","All stages pass. Add $10–20/day or a new audience; test new creatives beside the main campaign.",IF(Z175="Add economics","Add this client to Client Economics.",IFERROR(INDEX('KPI Benchmarks'!$G$5:$G$12,MATCH(Z175,'KPI Benchmarks'!$A$5:$A$12,0)),""))))</f>
        <v/>
      </c>
      <c r="AB175" s="13" t="n"/>
    </row>
    <row r="176">
      <c r="A176" s="14" t="n"/>
      <c r="B176" s="13" t="n"/>
      <c r="C176" s="34" t="n"/>
      <c r="D176" s="40" t="n"/>
      <c r="E176" s="40" t="n"/>
      <c r="F176" s="40" t="n"/>
      <c r="G176" s="40" t="n"/>
      <c r="H176" s="40" t="n"/>
      <c r="I176" s="40" t="n"/>
      <c r="J176" s="40" t="n"/>
      <c r="K176" s="34" t="n"/>
      <c r="L176" s="36">
        <f>IFERROR(C176/D176*1000,"")</f>
        <v/>
      </c>
      <c r="M176" s="41">
        <f>IFERROR(E176/D176,"")</f>
        <v/>
      </c>
      <c r="N176" s="41">
        <f>IFERROR(F176/D176,"")</f>
        <v/>
      </c>
      <c r="O176" s="42">
        <f>IFERROR(N176/M176,"")</f>
        <v/>
      </c>
      <c r="P176" s="36">
        <f>IFERROR(C176/F176,"")</f>
        <v/>
      </c>
      <c r="Q176" s="42">
        <f>IFERROR(G176/F176,"")</f>
        <v/>
      </c>
      <c r="R176" s="43">
        <f>IFERROR(H176/G176,"")</f>
        <v/>
      </c>
      <c r="S176" s="42">
        <f>IFERROR(I176/H176,"")</f>
        <v/>
      </c>
      <c r="T176" s="42">
        <f>IFERROR(J176/I176,"")</f>
        <v/>
      </c>
      <c r="U176" s="37">
        <f>IFERROR(K176/C176,"")</f>
        <v/>
      </c>
      <c r="V176" s="36">
        <f>IFERROR(C176/J176,"")</f>
        <v/>
      </c>
      <c r="W176" s="36">
        <f>IFERROR(K176/J176,"")</f>
        <v/>
      </c>
      <c r="X176" s="37">
        <f>IFERROR(INDEX('Client Economics'!$J$5:$J$34,MATCH(B176,'Client Economics'!$A$5:$A$34,0)),"")</f>
        <v/>
      </c>
      <c r="Y176" s="37">
        <f>IFERROR(U176/X176,"")</f>
        <v/>
      </c>
      <c r="Z176" s="44">
        <f>IF(D176="","",IF(N(M176)&lt;'KPI Benchmarks'!$D$5,"Attention",IF(N(O176)&lt;'KPI Benchmarks'!$D$6,"Interest",IF(N(Q176)&lt;'KPI Benchmarks'!$D$8,"Page load",IF(N(R176)&lt;'KPI Benchmarks'!$D$9,"Buying intent",IF(N(S176)&lt;'KPI Benchmarks'!$D$10,"Cart",IF(N(T176)&lt;'KPI Benchmarks'!$D$11,"Checkout",IF(X176="","Add economics",IF(N(Y176)&lt;'KPI Benchmarks'!$D$12,"Economics","Healthy – scale")))))))))</f>
        <v/>
      </c>
      <c r="AA176" s="27">
        <f>IF(Z176="","",IF(Z176="Healthy – scale","All stages pass. Add $10–20/day or a new audience; test new creatives beside the main campaign.",IF(Z176="Add economics","Add this client to Client Economics.",IFERROR(INDEX('KPI Benchmarks'!$G$5:$G$12,MATCH(Z176,'KPI Benchmarks'!$A$5:$A$12,0)),""))))</f>
        <v/>
      </c>
      <c r="AB176" s="13" t="n"/>
    </row>
    <row r="177">
      <c r="A177" s="14" t="n"/>
      <c r="B177" s="13" t="n"/>
      <c r="C177" s="34" t="n"/>
      <c r="D177" s="40" t="n"/>
      <c r="E177" s="40" t="n"/>
      <c r="F177" s="40" t="n"/>
      <c r="G177" s="40" t="n"/>
      <c r="H177" s="40" t="n"/>
      <c r="I177" s="40" t="n"/>
      <c r="J177" s="40" t="n"/>
      <c r="K177" s="34" t="n"/>
      <c r="L177" s="36">
        <f>IFERROR(C177/D177*1000,"")</f>
        <v/>
      </c>
      <c r="M177" s="41">
        <f>IFERROR(E177/D177,"")</f>
        <v/>
      </c>
      <c r="N177" s="41">
        <f>IFERROR(F177/D177,"")</f>
        <v/>
      </c>
      <c r="O177" s="42">
        <f>IFERROR(N177/M177,"")</f>
        <v/>
      </c>
      <c r="P177" s="36">
        <f>IFERROR(C177/F177,"")</f>
        <v/>
      </c>
      <c r="Q177" s="42">
        <f>IFERROR(G177/F177,"")</f>
        <v/>
      </c>
      <c r="R177" s="43">
        <f>IFERROR(H177/G177,"")</f>
        <v/>
      </c>
      <c r="S177" s="42">
        <f>IFERROR(I177/H177,"")</f>
        <v/>
      </c>
      <c r="T177" s="42">
        <f>IFERROR(J177/I177,"")</f>
        <v/>
      </c>
      <c r="U177" s="37">
        <f>IFERROR(K177/C177,"")</f>
        <v/>
      </c>
      <c r="V177" s="36">
        <f>IFERROR(C177/J177,"")</f>
        <v/>
      </c>
      <c r="W177" s="36">
        <f>IFERROR(K177/J177,"")</f>
        <v/>
      </c>
      <c r="X177" s="37">
        <f>IFERROR(INDEX('Client Economics'!$J$5:$J$34,MATCH(B177,'Client Economics'!$A$5:$A$34,0)),"")</f>
        <v/>
      </c>
      <c r="Y177" s="37">
        <f>IFERROR(U177/X177,"")</f>
        <v/>
      </c>
      <c r="Z177" s="44">
        <f>IF(D177="","",IF(N(M177)&lt;'KPI Benchmarks'!$D$5,"Attention",IF(N(O177)&lt;'KPI Benchmarks'!$D$6,"Interest",IF(N(Q177)&lt;'KPI Benchmarks'!$D$8,"Page load",IF(N(R177)&lt;'KPI Benchmarks'!$D$9,"Buying intent",IF(N(S177)&lt;'KPI Benchmarks'!$D$10,"Cart",IF(N(T177)&lt;'KPI Benchmarks'!$D$11,"Checkout",IF(X177="","Add economics",IF(N(Y177)&lt;'KPI Benchmarks'!$D$12,"Economics","Healthy – scale")))))))))</f>
        <v/>
      </c>
      <c r="AA177" s="27">
        <f>IF(Z177="","",IF(Z177="Healthy – scale","All stages pass. Add $10–20/day or a new audience; test new creatives beside the main campaign.",IF(Z177="Add economics","Add this client to Client Economics.",IFERROR(INDEX('KPI Benchmarks'!$G$5:$G$12,MATCH(Z177,'KPI Benchmarks'!$A$5:$A$12,0)),""))))</f>
        <v/>
      </c>
      <c r="AB177" s="13" t="n"/>
    </row>
    <row r="178">
      <c r="A178" s="14" t="n"/>
      <c r="B178" s="13" t="n"/>
      <c r="C178" s="34" t="n"/>
      <c r="D178" s="40" t="n"/>
      <c r="E178" s="40" t="n"/>
      <c r="F178" s="40" t="n"/>
      <c r="G178" s="40" t="n"/>
      <c r="H178" s="40" t="n"/>
      <c r="I178" s="40" t="n"/>
      <c r="J178" s="40" t="n"/>
      <c r="K178" s="34" t="n"/>
      <c r="L178" s="36">
        <f>IFERROR(C178/D178*1000,"")</f>
        <v/>
      </c>
      <c r="M178" s="41">
        <f>IFERROR(E178/D178,"")</f>
        <v/>
      </c>
      <c r="N178" s="41">
        <f>IFERROR(F178/D178,"")</f>
        <v/>
      </c>
      <c r="O178" s="42">
        <f>IFERROR(N178/M178,"")</f>
        <v/>
      </c>
      <c r="P178" s="36">
        <f>IFERROR(C178/F178,"")</f>
        <v/>
      </c>
      <c r="Q178" s="42">
        <f>IFERROR(G178/F178,"")</f>
        <v/>
      </c>
      <c r="R178" s="43">
        <f>IFERROR(H178/G178,"")</f>
        <v/>
      </c>
      <c r="S178" s="42">
        <f>IFERROR(I178/H178,"")</f>
        <v/>
      </c>
      <c r="T178" s="42">
        <f>IFERROR(J178/I178,"")</f>
        <v/>
      </c>
      <c r="U178" s="37">
        <f>IFERROR(K178/C178,"")</f>
        <v/>
      </c>
      <c r="V178" s="36">
        <f>IFERROR(C178/J178,"")</f>
        <v/>
      </c>
      <c r="W178" s="36">
        <f>IFERROR(K178/J178,"")</f>
        <v/>
      </c>
      <c r="X178" s="37">
        <f>IFERROR(INDEX('Client Economics'!$J$5:$J$34,MATCH(B178,'Client Economics'!$A$5:$A$34,0)),"")</f>
        <v/>
      </c>
      <c r="Y178" s="37">
        <f>IFERROR(U178/X178,"")</f>
        <v/>
      </c>
      <c r="Z178" s="44">
        <f>IF(D178="","",IF(N(M178)&lt;'KPI Benchmarks'!$D$5,"Attention",IF(N(O178)&lt;'KPI Benchmarks'!$D$6,"Interest",IF(N(Q178)&lt;'KPI Benchmarks'!$D$8,"Page load",IF(N(R178)&lt;'KPI Benchmarks'!$D$9,"Buying intent",IF(N(S178)&lt;'KPI Benchmarks'!$D$10,"Cart",IF(N(T178)&lt;'KPI Benchmarks'!$D$11,"Checkout",IF(X178="","Add economics",IF(N(Y178)&lt;'KPI Benchmarks'!$D$12,"Economics","Healthy – scale")))))))))</f>
        <v/>
      </c>
      <c r="AA178" s="27">
        <f>IF(Z178="","",IF(Z178="Healthy – scale","All stages pass. Add $10–20/day or a new audience; test new creatives beside the main campaign.",IF(Z178="Add economics","Add this client to Client Economics.",IFERROR(INDEX('KPI Benchmarks'!$G$5:$G$12,MATCH(Z178,'KPI Benchmarks'!$A$5:$A$12,0)),""))))</f>
        <v/>
      </c>
      <c r="AB178" s="13" t="n"/>
    </row>
    <row r="179">
      <c r="A179" s="14" t="n"/>
      <c r="B179" s="13" t="n"/>
      <c r="C179" s="34" t="n"/>
      <c r="D179" s="40" t="n"/>
      <c r="E179" s="40" t="n"/>
      <c r="F179" s="40" t="n"/>
      <c r="G179" s="40" t="n"/>
      <c r="H179" s="40" t="n"/>
      <c r="I179" s="40" t="n"/>
      <c r="J179" s="40" t="n"/>
      <c r="K179" s="34" t="n"/>
      <c r="L179" s="36">
        <f>IFERROR(C179/D179*1000,"")</f>
        <v/>
      </c>
      <c r="M179" s="41">
        <f>IFERROR(E179/D179,"")</f>
        <v/>
      </c>
      <c r="N179" s="41">
        <f>IFERROR(F179/D179,"")</f>
        <v/>
      </c>
      <c r="O179" s="42">
        <f>IFERROR(N179/M179,"")</f>
        <v/>
      </c>
      <c r="P179" s="36">
        <f>IFERROR(C179/F179,"")</f>
        <v/>
      </c>
      <c r="Q179" s="42">
        <f>IFERROR(G179/F179,"")</f>
        <v/>
      </c>
      <c r="R179" s="43">
        <f>IFERROR(H179/G179,"")</f>
        <v/>
      </c>
      <c r="S179" s="42">
        <f>IFERROR(I179/H179,"")</f>
        <v/>
      </c>
      <c r="T179" s="42">
        <f>IFERROR(J179/I179,"")</f>
        <v/>
      </c>
      <c r="U179" s="37">
        <f>IFERROR(K179/C179,"")</f>
        <v/>
      </c>
      <c r="V179" s="36">
        <f>IFERROR(C179/J179,"")</f>
        <v/>
      </c>
      <c r="W179" s="36">
        <f>IFERROR(K179/J179,"")</f>
        <v/>
      </c>
      <c r="X179" s="37">
        <f>IFERROR(INDEX('Client Economics'!$J$5:$J$34,MATCH(B179,'Client Economics'!$A$5:$A$34,0)),"")</f>
        <v/>
      </c>
      <c r="Y179" s="37">
        <f>IFERROR(U179/X179,"")</f>
        <v/>
      </c>
      <c r="Z179" s="44">
        <f>IF(D179="","",IF(N(M179)&lt;'KPI Benchmarks'!$D$5,"Attention",IF(N(O179)&lt;'KPI Benchmarks'!$D$6,"Interest",IF(N(Q179)&lt;'KPI Benchmarks'!$D$8,"Page load",IF(N(R179)&lt;'KPI Benchmarks'!$D$9,"Buying intent",IF(N(S179)&lt;'KPI Benchmarks'!$D$10,"Cart",IF(N(T179)&lt;'KPI Benchmarks'!$D$11,"Checkout",IF(X179="","Add economics",IF(N(Y179)&lt;'KPI Benchmarks'!$D$12,"Economics","Healthy – scale")))))))))</f>
        <v/>
      </c>
      <c r="AA179" s="27">
        <f>IF(Z179="","",IF(Z179="Healthy – scale","All stages pass. Add $10–20/day or a new audience; test new creatives beside the main campaign.",IF(Z179="Add economics","Add this client to Client Economics.",IFERROR(INDEX('KPI Benchmarks'!$G$5:$G$12,MATCH(Z179,'KPI Benchmarks'!$A$5:$A$12,0)),""))))</f>
        <v/>
      </c>
      <c r="AB179" s="13" t="n"/>
    </row>
    <row r="180">
      <c r="A180" s="14" t="n"/>
      <c r="B180" s="13" t="n"/>
      <c r="C180" s="34" t="n"/>
      <c r="D180" s="40" t="n"/>
      <c r="E180" s="40" t="n"/>
      <c r="F180" s="40" t="n"/>
      <c r="G180" s="40" t="n"/>
      <c r="H180" s="40" t="n"/>
      <c r="I180" s="40" t="n"/>
      <c r="J180" s="40" t="n"/>
      <c r="K180" s="34" t="n"/>
      <c r="L180" s="36">
        <f>IFERROR(C180/D180*1000,"")</f>
        <v/>
      </c>
      <c r="M180" s="41">
        <f>IFERROR(E180/D180,"")</f>
        <v/>
      </c>
      <c r="N180" s="41">
        <f>IFERROR(F180/D180,"")</f>
        <v/>
      </c>
      <c r="O180" s="42">
        <f>IFERROR(N180/M180,"")</f>
        <v/>
      </c>
      <c r="P180" s="36">
        <f>IFERROR(C180/F180,"")</f>
        <v/>
      </c>
      <c r="Q180" s="42">
        <f>IFERROR(G180/F180,"")</f>
        <v/>
      </c>
      <c r="R180" s="43">
        <f>IFERROR(H180/G180,"")</f>
        <v/>
      </c>
      <c r="S180" s="42">
        <f>IFERROR(I180/H180,"")</f>
        <v/>
      </c>
      <c r="T180" s="42">
        <f>IFERROR(J180/I180,"")</f>
        <v/>
      </c>
      <c r="U180" s="37">
        <f>IFERROR(K180/C180,"")</f>
        <v/>
      </c>
      <c r="V180" s="36">
        <f>IFERROR(C180/J180,"")</f>
        <v/>
      </c>
      <c r="W180" s="36">
        <f>IFERROR(K180/J180,"")</f>
        <v/>
      </c>
      <c r="X180" s="37">
        <f>IFERROR(INDEX('Client Economics'!$J$5:$J$34,MATCH(B180,'Client Economics'!$A$5:$A$34,0)),"")</f>
        <v/>
      </c>
      <c r="Y180" s="37">
        <f>IFERROR(U180/X180,"")</f>
        <v/>
      </c>
      <c r="Z180" s="44">
        <f>IF(D180="","",IF(N(M180)&lt;'KPI Benchmarks'!$D$5,"Attention",IF(N(O180)&lt;'KPI Benchmarks'!$D$6,"Interest",IF(N(Q180)&lt;'KPI Benchmarks'!$D$8,"Page load",IF(N(R180)&lt;'KPI Benchmarks'!$D$9,"Buying intent",IF(N(S180)&lt;'KPI Benchmarks'!$D$10,"Cart",IF(N(T180)&lt;'KPI Benchmarks'!$D$11,"Checkout",IF(X180="","Add economics",IF(N(Y180)&lt;'KPI Benchmarks'!$D$12,"Economics","Healthy – scale")))))))))</f>
        <v/>
      </c>
      <c r="AA180" s="27">
        <f>IF(Z180="","",IF(Z180="Healthy – scale","All stages pass. Add $10–20/day or a new audience; test new creatives beside the main campaign.",IF(Z180="Add economics","Add this client to Client Economics.",IFERROR(INDEX('KPI Benchmarks'!$G$5:$G$12,MATCH(Z180,'KPI Benchmarks'!$A$5:$A$12,0)),""))))</f>
        <v/>
      </c>
      <c r="AB180" s="13" t="n"/>
    </row>
    <row r="181">
      <c r="A181" s="14" t="n"/>
      <c r="B181" s="13" t="n"/>
      <c r="C181" s="34" t="n"/>
      <c r="D181" s="40" t="n"/>
      <c r="E181" s="40" t="n"/>
      <c r="F181" s="40" t="n"/>
      <c r="G181" s="40" t="n"/>
      <c r="H181" s="40" t="n"/>
      <c r="I181" s="40" t="n"/>
      <c r="J181" s="40" t="n"/>
      <c r="K181" s="34" t="n"/>
      <c r="L181" s="36">
        <f>IFERROR(C181/D181*1000,"")</f>
        <v/>
      </c>
      <c r="M181" s="41">
        <f>IFERROR(E181/D181,"")</f>
        <v/>
      </c>
      <c r="N181" s="41">
        <f>IFERROR(F181/D181,"")</f>
        <v/>
      </c>
      <c r="O181" s="42">
        <f>IFERROR(N181/M181,"")</f>
        <v/>
      </c>
      <c r="P181" s="36">
        <f>IFERROR(C181/F181,"")</f>
        <v/>
      </c>
      <c r="Q181" s="42">
        <f>IFERROR(G181/F181,"")</f>
        <v/>
      </c>
      <c r="R181" s="43">
        <f>IFERROR(H181/G181,"")</f>
        <v/>
      </c>
      <c r="S181" s="42">
        <f>IFERROR(I181/H181,"")</f>
        <v/>
      </c>
      <c r="T181" s="42">
        <f>IFERROR(J181/I181,"")</f>
        <v/>
      </c>
      <c r="U181" s="37">
        <f>IFERROR(K181/C181,"")</f>
        <v/>
      </c>
      <c r="V181" s="36">
        <f>IFERROR(C181/J181,"")</f>
        <v/>
      </c>
      <c r="W181" s="36">
        <f>IFERROR(K181/J181,"")</f>
        <v/>
      </c>
      <c r="X181" s="37">
        <f>IFERROR(INDEX('Client Economics'!$J$5:$J$34,MATCH(B181,'Client Economics'!$A$5:$A$34,0)),"")</f>
        <v/>
      </c>
      <c r="Y181" s="37">
        <f>IFERROR(U181/X181,"")</f>
        <v/>
      </c>
      <c r="Z181" s="44">
        <f>IF(D181="","",IF(N(M181)&lt;'KPI Benchmarks'!$D$5,"Attention",IF(N(O181)&lt;'KPI Benchmarks'!$D$6,"Interest",IF(N(Q181)&lt;'KPI Benchmarks'!$D$8,"Page load",IF(N(R181)&lt;'KPI Benchmarks'!$D$9,"Buying intent",IF(N(S181)&lt;'KPI Benchmarks'!$D$10,"Cart",IF(N(T181)&lt;'KPI Benchmarks'!$D$11,"Checkout",IF(X181="","Add economics",IF(N(Y181)&lt;'KPI Benchmarks'!$D$12,"Economics","Healthy – scale")))))))))</f>
        <v/>
      </c>
      <c r="AA181" s="27">
        <f>IF(Z181="","",IF(Z181="Healthy – scale","All stages pass. Add $10–20/day or a new audience; test new creatives beside the main campaign.",IF(Z181="Add economics","Add this client to Client Economics.",IFERROR(INDEX('KPI Benchmarks'!$G$5:$G$12,MATCH(Z181,'KPI Benchmarks'!$A$5:$A$12,0)),""))))</f>
        <v/>
      </c>
      <c r="AB181" s="13" t="n"/>
    </row>
    <row r="182">
      <c r="A182" s="14" t="n"/>
      <c r="B182" s="13" t="n"/>
      <c r="C182" s="34" t="n"/>
      <c r="D182" s="40" t="n"/>
      <c r="E182" s="40" t="n"/>
      <c r="F182" s="40" t="n"/>
      <c r="G182" s="40" t="n"/>
      <c r="H182" s="40" t="n"/>
      <c r="I182" s="40" t="n"/>
      <c r="J182" s="40" t="n"/>
      <c r="K182" s="34" t="n"/>
      <c r="L182" s="36">
        <f>IFERROR(C182/D182*1000,"")</f>
        <v/>
      </c>
      <c r="M182" s="41">
        <f>IFERROR(E182/D182,"")</f>
        <v/>
      </c>
      <c r="N182" s="41">
        <f>IFERROR(F182/D182,"")</f>
        <v/>
      </c>
      <c r="O182" s="42">
        <f>IFERROR(N182/M182,"")</f>
        <v/>
      </c>
      <c r="P182" s="36">
        <f>IFERROR(C182/F182,"")</f>
        <v/>
      </c>
      <c r="Q182" s="42">
        <f>IFERROR(G182/F182,"")</f>
        <v/>
      </c>
      <c r="R182" s="43">
        <f>IFERROR(H182/G182,"")</f>
        <v/>
      </c>
      <c r="S182" s="42">
        <f>IFERROR(I182/H182,"")</f>
        <v/>
      </c>
      <c r="T182" s="42">
        <f>IFERROR(J182/I182,"")</f>
        <v/>
      </c>
      <c r="U182" s="37">
        <f>IFERROR(K182/C182,"")</f>
        <v/>
      </c>
      <c r="V182" s="36">
        <f>IFERROR(C182/J182,"")</f>
        <v/>
      </c>
      <c r="W182" s="36">
        <f>IFERROR(K182/J182,"")</f>
        <v/>
      </c>
      <c r="X182" s="37">
        <f>IFERROR(INDEX('Client Economics'!$J$5:$J$34,MATCH(B182,'Client Economics'!$A$5:$A$34,0)),"")</f>
        <v/>
      </c>
      <c r="Y182" s="37">
        <f>IFERROR(U182/X182,"")</f>
        <v/>
      </c>
      <c r="Z182" s="44">
        <f>IF(D182="","",IF(N(M182)&lt;'KPI Benchmarks'!$D$5,"Attention",IF(N(O182)&lt;'KPI Benchmarks'!$D$6,"Interest",IF(N(Q182)&lt;'KPI Benchmarks'!$D$8,"Page load",IF(N(R182)&lt;'KPI Benchmarks'!$D$9,"Buying intent",IF(N(S182)&lt;'KPI Benchmarks'!$D$10,"Cart",IF(N(T182)&lt;'KPI Benchmarks'!$D$11,"Checkout",IF(X182="","Add economics",IF(N(Y182)&lt;'KPI Benchmarks'!$D$12,"Economics","Healthy – scale")))))))))</f>
        <v/>
      </c>
      <c r="AA182" s="27">
        <f>IF(Z182="","",IF(Z182="Healthy – scale","All stages pass. Add $10–20/day or a new audience; test new creatives beside the main campaign.",IF(Z182="Add economics","Add this client to Client Economics.",IFERROR(INDEX('KPI Benchmarks'!$G$5:$G$12,MATCH(Z182,'KPI Benchmarks'!$A$5:$A$12,0)),""))))</f>
        <v/>
      </c>
      <c r="AB182" s="13" t="n"/>
    </row>
    <row r="183">
      <c r="A183" s="14" t="n"/>
      <c r="B183" s="13" t="n"/>
      <c r="C183" s="34" t="n"/>
      <c r="D183" s="40" t="n"/>
      <c r="E183" s="40" t="n"/>
      <c r="F183" s="40" t="n"/>
      <c r="G183" s="40" t="n"/>
      <c r="H183" s="40" t="n"/>
      <c r="I183" s="40" t="n"/>
      <c r="J183" s="40" t="n"/>
      <c r="K183" s="34" t="n"/>
      <c r="L183" s="36">
        <f>IFERROR(C183/D183*1000,"")</f>
        <v/>
      </c>
      <c r="M183" s="41">
        <f>IFERROR(E183/D183,"")</f>
        <v/>
      </c>
      <c r="N183" s="41">
        <f>IFERROR(F183/D183,"")</f>
        <v/>
      </c>
      <c r="O183" s="42">
        <f>IFERROR(N183/M183,"")</f>
        <v/>
      </c>
      <c r="P183" s="36">
        <f>IFERROR(C183/F183,"")</f>
        <v/>
      </c>
      <c r="Q183" s="42">
        <f>IFERROR(G183/F183,"")</f>
        <v/>
      </c>
      <c r="R183" s="43">
        <f>IFERROR(H183/G183,"")</f>
        <v/>
      </c>
      <c r="S183" s="42">
        <f>IFERROR(I183/H183,"")</f>
        <v/>
      </c>
      <c r="T183" s="42">
        <f>IFERROR(J183/I183,"")</f>
        <v/>
      </c>
      <c r="U183" s="37">
        <f>IFERROR(K183/C183,"")</f>
        <v/>
      </c>
      <c r="V183" s="36">
        <f>IFERROR(C183/J183,"")</f>
        <v/>
      </c>
      <c r="W183" s="36">
        <f>IFERROR(K183/J183,"")</f>
        <v/>
      </c>
      <c r="X183" s="37">
        <f>IFERROR(INDEX('Client Economics'!$J$5:$J$34,MATCH(B183,'Client Economics'!$A$5:$A$34,0)),"")</f>
        <v/>
      </c>
      <c r="Y183" s="37">
        <f>IFERROR(U183/X183,"")</f>
        <v/>
      </c>
      <c r="Z183" s="44">
        <f>IF(D183="","",IF(N(M183)&lt;'KPI Benchmarks'!$D$5,"Attention",IF(N(O183)&lt;'KPI Benchmarks'!$D$6,"Interest",IF(N(Q183)&lt;'KPI Benchmarks'!$D$8,"Page load",IF(N(R183)&lt;'KPI Benchmarks'!$D$9,"Buying intent",IF(N(S183)&lt;'KPI Benchmarks'!$D$10,"Cart",IF(N(T183)&lt;'KPI Benchmarks'!$D$11,"Checkout",IF(X183="","Add economics",IF(N(Y183)&lt;'KPI Benchmarks'!$D$12,"Economics","Healthy – scale")))))))))</f>
        <v/>
      </c>
      <c r="AA183" s="27">
        <f>IF(Z183="","",IF(Z183="Healthy – scale","All stages pass. Add $10–20/day or a new audience; test new creatives beside the main campaign.",IF(Z183="Add economics","Add this client to Client Economics.",IFERROR(INDEX('KPI Benchmarks'!$G$5:$G$12,MATCH(Z183,'KPI Benchmarks'!$A$5:$A$12,0)),""))))</f>
        <v/>
      </c>
      <c r="AB183" s="13" t="n"/>
    </row>
    <row r="184">
      <c r="A184" s="14" t="n"/>
      <c r="B184" s="13" t="n"/>
      <c r="C184" s="34" t="n"/>
      <c r="D184" s="40" t="n"/>
      <c r="E184" s="40" t="n"/>
      <c r="F184" s="40" t="n"/>
      <c r="G184" s="40" t="n"/>
      <c r="H184" s="40" t="n"/>
      <c r="I184" s="40" t="n"/>
      <c r="J184" s="40" t="n"/>
      <c r="K184" s="34" t="n"/>
      <c r="L184" s="36">
        <f>IFERROR(C184/D184*1000,"")</f>
        <v/>
      </c>
      <c r="M184" s="41">
        <f>IFERROR(E184/D184,"")</f>
        <v/>
      </c>
      <c r="N184" s="41">
        <f>IFERROR(F184/D184,"")</f>
        <v/>
      </c>
      <c r="O184" s="42">
        <f>IFERROR(N184/M184,"")</f>
        <v/>
      </c>
      <c r="P184" s="36">
        <f>IFERROR(C184/F184,"")</f>
        <v/>
      </c>
      <c r="Q184" s="42">
        <f>IFERROR(G184/F184,"")</f>
        <v/>
      </c>
      <c r="R184" s="43">
        <f>IFERROR(H184/G184,"")</f>
        <v/>
      </c>
      <c r="S184" s="42">
        <f>IFERROR(I184/H184,"")</f>
        <v/>
      </c>
      <c r="T184" s="42">
        <f>IFERROR(J184/I184,"")</f>
        <v/>
      </c>
      <c r="U184" s="37">
        <f>IFERROR(K184/C184,"")</f>
        <v/>
      </c>
      <c r="V184" s="36">
        <f>IFERROR(C184/J184,"")</f>
        <v/>
      </c>
      <c r="W184" s="36">
        <f>IFERROR(K184/J184,"")</f>
        <v/>
      </c>
      <c r="X184" s="37">
        <f>IFERROR(INDEX('Client Economics'!$J$5:$J$34,MATCH(B184,'Client Economics'!$A$5:$A$34,0)),"")</f>
        <v/>
      </c>
      <c r="Y184" s="37">
        <f>IFERROR(U184/X184,"")</f>
        <v/>
      </c>
      <c r="Z184" s="44">
        <f>IF(D184="","",IF(N(M184)&lt;'KPI Benchmarks'!$D$5,"Attention",IF(N(O184)&lt;'KPI Benchmarks'!$D$6,"Interest",IF(N(Q184)&lt;'KPI Benchmarks'!$D$8,"Page load",IF(N(R184)&lt;'KPI Benchmarks'!$D$9,"Buying intent",IF(N(S184)&lt;'KPI Benchmarks'!$D$10,"Cart",IF(N(T184)&lt;'KPI Benchmarks'!$D$11,"Checkout",IF(X184="","Add economics",IF(N(Y184)&lt;'KPI Benchmarks'!$D$12,"Economics","Healthy – scale")))))))))</f>
        <v/>
      </c>
      <c r="AA184" s="27">
        <f>IF(Z184="","",IF(Z184="Healthy – scale","All stages pass. Add $10–20/day or a new audience; test new creatives beside the main campaign.",IF(Z184="Add economics","Add this client to Client Economics.",IFERROR(INDEX('KPI Benchmarks'!$G$5:$G$12,MATCH(Z184,'KPI Benchmarks'!$A$5:$A$12,0)),""))))</f>
        <v/>
      </c>
      <c r="AB184" s="13" t="n"/>
    </row>
    <row r="185">
      <c r="A185" s="14" t="n"/>
      <c r="B185" s="13" t="n"/>
      <c r="C185" s="34" t="n"/>
      <c r="D185" s="40" t="n"/>
      <c r="E185" s="40" t="n"/>
      <c r="F185" s="40" t="n"/>
      <c r="G185" s="40" t="n"/>
      <c r="H185" s="40" t="n"/>
      <c r="I185" s="40" t="n"/>
      <c r="J185" s="40" t="n"/>
      <c r="K185" s="34" t="n"/>
      <c r="L185" s="36">
        <f>IFERROR(C185/D185*1000,"")</f>
        <v/>
      </c>
      <c r="M185" s="41">
        <f>IFERROR(E185/D185,"")</f>
        <v/>
      </c>
      <c r="N185" s="41">
        <f>IFERROR(F185/D185,"")</f>
        <v/>
      </c>
      <c r="O185" s="42">
        <f>IFERROR(N185/M185,"")</f>
        <v/>
      </c>
      <c r="P185" s="36">
        <f>IFERROR(C185/F185,"")</f>
        <v/>
      </c>
      <c r="Q185" s="42">
        <f>IFERROR(G185/F185,"")</f>
        <v/>
      </c>
      <c r="R185" s="43">
        <f>IFERROR(H185/G185,"")</f>
        <v/>
      </c>
      <c r="S185" s="42">
        <f>IFERROR(I185/H185,"")</f>
        <v/>
      </c>
      <c r="T185" s="42">
        <f>IFERROR(J185/I185,"")</f>
        <v/>
      </c>
      <c r="U185" s="37">
        <f>IFERROR(K185/C185,"")</f>
        <v/>
      </c>
      <c r="V185" s="36">
        <f>IFERROR(C185/J185,"")</f>
        <v/>
      </c>
      <c r="W185" s="36">
        <f>IFERROR(K185/J185,"")</f>
        <v/>
      </c>
      <c r="X185" s="37">
        <f>IFERROR(INDEX('Client Economics'!$J$5:$J$34,MATCH(B185,'Client Economics'!$A$5:$A$34,0)),"")</f>
        <v/>
      </c>
      <c r="Y185" s="37">
        <f>IFERROR(U185/X185,"")</f>
        <v/>
      </c>
      <c r="Z185" s="44">
        <f>IF(D185="","",IF(N(M185)&lt;'KPI Benchmarks'!$D$5,"Attention",IF(N(O185)&lt;'KPI Benchmarks'!$D$6,"Interest",IF(N(Q185)&lt;'KPI Benchmarks'!$D$8,"Page load",IF(N(R185)&lt;'KPI Benchmarks'!$D$9,"Buying intent",IF(N(S185)&lt;'KPI Benchmarks'!$D$10,"Cart",IF(N(T185)&lt;'KPI Benchmarks'!$D$11,"Checkout",IF(X185="","Add economics",IF(N(Y185)&lt;'KPI Benchmarks'!$D$12,"Economics","Healthy – scale")))))))))</f>
        <v/>
      </c>
      <c r="AA185" s="27">
        <f>IF(Z185="","",IF(Z185="Healthy – scale","All stages pass. Add $10–20/day or a new audience; test new creatives beside the main campaign.",IF(Z185="Add economics","Add this client to Client Economics.",IFERROR(INDEX('KPI Benchmarks'!$G$5:$G$12,MATCH(Z185,'KPI Benchmarks'!$A$5:$A$12,0)),""))))</f>
        <v/>
      </c>
      <c r="AB185" s="13" t="n"/>
    </row>
    <row r="186">
      <c r="A186" s="14" t="n"/>
      <c r="B186" s="13" t="n"/>
      <c r="C186" s="34" t="n"/>
      <c r="D186" s="40" t="n"/>
      <c r="E186" s="40" t="n"/>
      <c r="F186" s="40" t="n"/>
      <c r="G186" s="40" t="n"/>
      <c r="H186" s="40" t="n"/>
      <c r="I186" s="40" t="n"/>
      <c r="J186" s="40" t="n"/>
      <c r="K186" s="34" t="n"/>
      <c r="L186" s="36">
        <f>IFERROR(C186/D186*1000,"")</f>
        <v/>
      </c>
      <c r="M186" s="41">
        <f>IFERROR(E186/D186,"")</f>
        <v/>
      </c>
      <c r="N186" s="41">
        <f>IFERROR(F186/D186,"")</f>
        <v/>
      </c>
      <c r="O186" s="42">
        <f>IFERROR(N186/M186,"")</f>
        <v/>
      </c>
      <c r="P186" s="36">
        <f>IFERROR(C186/F186,"")</f>
        <v/>
      </c>
      <c r="Q186" s="42">
        <f>IFERROR(G186/F186,"")</f>
        <v/>
      </c>
      <c r="R186" s="43">
        <f>IFERROR(H186/G186,"")</f>
        <v/>
      </c>
      <c r="S186" s="42">
        <f>IFERROR(I186/H186,"")</f>
        <v/>
      </c>
      <c r="T186" s="42">
        <f>IFERROR(J186/I186,"")</f>
        <v/>
      </c>
      <c r="U186" s="37">
        <f>IFERROR(K186/C186,"")</f>
        <v/>
      </c>
      <c r="V186" s="36">
        <f>IFERROR(C186/J186,"")</f>
        <v/>
      </c>
      <c r="W186" s="36">
        <f>IFERROR(K186/J186,"")</f>
        <v/>
      </c>
      <c r="X186" s="37">
        <f>IFERROR(INDEX('Client Economics'!$J$5:$J$34,MATCH(B186,'Client Economics'!$A$5:$A$34,0)),"")</f>
        <v/>
      </c>
      <c r="Y186" s="37">
        <f>IFERROR(U186/X186,"")</f>
        <v/>
      </c>
      <c r="Z186" s="44">
        <f>IF(D186="","",IF(N(M186)&lt;'KPI Benchmarks'!$D$5,"Attention",IF(N(O186)&lt;'KPI Benchmarks'!$D$6,"Interest",IF(N(Q186)&lt;'KPI Benchmarks'!$D$8,"Page load",IF(N(R186)&lt;'KPI Benchmarks'!$D$9,"Buying intent",IF(N(S186)&lt;'KPI Benchmarks'!$D$10,"Cart",IF(N(T186)&lt;'KPI Benchmarks'!$D$11,"Checkout",IF(X186="","Add economics",IF(N(Y186)&lt;'KPI Benchmarks'!$D$12,"Economics","Healthy – scale")))))))))</f>
        <v/>
      </c>
      <c r="AA186" s="27">
        <f>IF(Z186="","",IF(Z186="Healthy – scale","All stages pass. Add $10–20/day or a new audience; test new creatives beside the main campaign.",IF(Z186="Add economics","Add this client to Client Economics.",IFERROR(INDEX('KPI Benchmarks'!$G$5:$G$12,MATCH(Z186,'KPI Benchmarks'!$A$5:$A$12,0)),""))))</f>
        <v/>
      </c>
      <c r="AB186" s="13" t="n"/>
    </row>
    <row r="187">
      <c r="A187" s="14" t="n"/>
      <c r="B187" s="13" t="n"/>
      <c r="C187" s="34" t="n"/>
      <c r="D187" s="40" t="n"/>
      <c r="E187" s="40" t="n"/>
      <c r="F187" s="40" t="n"/>
      <c r="G187" s="40" t="n"/>
      <c r="H187" s="40" t="n"/>
      <c r="I187" s="40" t="n"/>
      <c r="J187" s="40" t="n"/>
      <c r="K187" s="34" t="n"/>
      <c r="L187" s="36">
        <f>IFERROR(C187/D187*1000,"")</f>
        <v/>
      </c>
      <c r="M187" s="41">
        <f>IFERROR(E187/D187,"")</f>
        <v/>
      </c>
      <c r="N187" s="41">
        <f>IFERROR(F187/D187,"")</f>
        <v/>
      </c>
      <c r="O187" s="42">
        <f>IFERROR(N187/M187,"")</f>
        <v/>
      </c>
      <c r="P187" s="36">
        <f>IFERROR(C187/F187,"")</f>
        <v/>
      </c>
      <c r="Q187" s="42">
        <f>IFERROR(G187/F187,"")</f>
        <v/>
      </c>
      <c r="R187" s="43">
        <f>IFERROR(H187/G187,"")</f>
        <v/>
      </c>
      <c r="S187" s="42">
        <f>IFERROR(I187/H187,"")</f>
        <v/>
      </c>
      <c r="T187" s="42">
        <f>IFERROR(J187/I187,"")</f>
        <v/>
      </c>
      <c r="U187" s="37">
        <f>IFERROR(K187/C187,"")</f>
        <v/>
      </c>
      <c r="V187" s="36">
        <f>IFERROR(C187/J187,"")</f>
        <v/>
      </c>
      <c r="W187" s="36">
        <f>IFERROR(K187/J187,"")</f>
        <v/>
      </c>
      <c r="X187" s="37">
        <f>IFERROR(INDEX('Client Economics'!$J$5:$J$34,MATCH(B187,'Client Economics'!$A$5:$A$34,0)),"")</f>
        <v/>
      </c>
      <c r="Y187" s="37">
        <f>IFERROR(U187/X187,"")</f>
        <v/>
      </c>
      <c r="Z187" s="44">
        <f>IF(D187="","",IF(N(M187)&lt;'KPI Benchmarks'!$D$5,"Attention",IF(N(O187)&lt;'KPI Benchmarks'!$D$6,"Interest",IF(N(Q187)&lt;'KPI Benchmarks'!$D$8,"Page load",IF(N(R187)&lt;'KPI Benchmarks'!$D$9,"Buying intent",IF(N(S187)&lt;'KPI Benchmarks'!$D$10,"Cart",IF(N(T187)&lt;'KPI Benchmarks'!$D$11,"Checkout",IF(X187="","Add economics",IF(N(Y187)&lt;'KPI Benchmarks'!$D$12,"Economics","Healthy – scale")))))))))</f>
        <v/>
      </c>
      <c r="AA187" s="27">
        <f>IF(Z187="","",IF(Z187="Healthy – scale","All stages pass. Add $10–20/day or a new audience; test new creatives beside the main campaign.",IF(Z187="Add economics","Add this client to Client Economics.",IFERROR(INDEX('KPI Benchmarks'!$G$5:$G$12,MATCH(Z187,'KPI Benchmarks'!$A$5:$A$12,0)),""))))</f>
        <v/>
      </c>
      <c r="AB187" s="13" t="n"/>
    </row>
    <row r="188">
      <c r="A188" s="14" t="n"/>
      <c r="B188" s="13" t="n"/>
      <c r="C188" s="34" t="n"/>
      <c r="D188" s="40" t="n"/>
      <c r="E188" s="40" t="n"/>
      <c r="F188" s="40" t="n"/>
      <c r="G188" s="40" t="n"/>
      <c r="H188" s="40" t="n"/>
      <c r="I188" s="40" t="n"/>
      <c r="J188" s="40" t="n"/>
      <c r="K188" s="34" t="n"/>
      <c r="L188" s="36">
        <f>IFERROR(C188/D188*1000,"")</f>
        <v/>
      </c>
      <c r="M188" s="41">
        <f>IFERROR(E188/D188,"")</f>
        <v/>
      </c>
      <c r="N188" s="41">
        <f>IFERROR(F188/D188,"")</f>
        <v/>
      </c>
      <c r="O188" s="42">
        <f>IFERROR(N188/M188,"")</f>
        <v/>
      </c>
      <c r="P188" s="36">
        <f>IFERROR(C188/F188,"")</f>
        <v/>
      </c>
      <c r="Q188" s="42">
        <f>IFERROR(G188/F188,"")</f>
        <v/>
      </c>
      <c r="R188" s="43">
        <f>IFERROR(H188/G188,"")</f>
        <v/>
      </c>
      <c r="S188" s="42">
        <f>IFERROR(I188/H188,"")</f>
        <v/>
      </c>
      <c r="T188" s="42">
        <f>IFERROR(J188/I188,"")</f>
        <v/>
      </c>
      <c r="U188" s="37">
        <f>IFERROR(K188/C188,"")</f>
        <v/>
      </c>
      <c r="V188" s="36">
        <f>IFERROR(C188/J188,"")</f>
        <v/>
      </c>
      <c r="W188" s="36">
        <f>IFERROR(K188/J188,"")</f>
        <v/>
      </c>
      <c r="X188" s="37">
        <f>IFERROR(INDEX('Client Economics'!$J$5:$J$34,MATCH(B188,'Client Economics'!$A$5:$A$34,0)),"")</f>
        <v/>
      </c>
      <c r="Y188" s="37">
        <f>IFERROR(U188/X188,"")</f>
        <v/>
      </c>
      <c r="Z188" s="44">
        <f>IF(D188="","",IF(N(M188)&lt;'KPI Benchmarks'!$D$5,"Attention",IF(N(O188)&lt;'KPI Benchmarks'!$D$6,"Interest",IF(N(Q188)&lt;'KPI Benchmarks'!$D$8,"Page load",IF(N(R188)&lt;'KPI Benchmarks'!$D$9,"Buying intent",IF(N(S188)&lt;'KPI Benchmarks'!$D$10,"Cart",IF(N(T188)&lt;'KPI Benchmarks'!$D$11,"Checkout",IF(X188="","Add economics",IF(N(Y188)&lt;'KPI Benchmarks'!$D$12,"Economics","Healthy – scale")))))))))</f>
        <v/>
      </c>
      <c r="AA188" s="27">
        <f>IF(Z188="","",IF(Z188="Healthy – scale","All stages pass. Add $10–20/day or a new audience; test new creatives beside the main campaign.",IF(Z188="Add economics","Add this client to Client Economics.",IFERROR(INDEX('KPI Benchmarks'!$G$5:$G$12,MATCH(Z188,'KPI Benchmarks'!$A$5:$A$12,0)),""))))</f>
        <v/>
      </c>
      <c r="AB188" s="13" t="n"/>
    </row>
    <row r="189">
      <c r="A189" s="14" t="n"/>
      <c r="B189" s="13" t="n"/>
      <c r="C189" s="34" t="n"/>
      <c r="D189" s="40" t="n"/>
      <c r="E189" s="40" t="n"/>
      <c r="F189" s="40" t="n"/>
      <c r="G189" s="40" t="n"/>
      <c r="H189" s="40" t="n"/>
      <c r="I189" s="40" t="n"/>
      <c r="J189" s="40" t="n"/>
      <c r="K189" s="34" t="n"/>
      <c r="L189" s="36">
        <f>IFERROR(C189/D189*1000,"")</f>
        <v/>
      </c>
      <c r="M189" s="41">
        <f>IFERROR(E189/D189,"")</f>
        <v/>
      </c>
      <c r="N189" s="41">
        <f>IFERROR(F189/D189,"")</f>
        <v/>
      </c>
      <c r="O189" s="42">
        <f>IFERROR(N189/M189,"")</f>
        <v/>
      </c>
      <c r="P189" s="36">
        <f>IFERROR(C189/F189,"")</f>
        <v/>
      </c>
      <c r="Q189" s="42">
        <f>IFERROR(G189/F189,"")</f>
        <v/>
      </c>
      <c r="R189" s="43">
        <f>IFERROR(H189/G189,"")</f>
        <v/>
      </c>
      <c r="S189" s="42">
        <f>IFERROR(I189/H189,"")</f>
        <v/>
      </c>
      <c r="T189" s="42">
        <f>IFERROR(J189/I189,"")</f>
        <v/>
      </c>
      <c r="U189" s="37">
        <f>IFERROR(K189/C189,"")</f>
        <v/>
      </c>
      <c r="V189" s="36">
        <f>IFERROR(C189/J189,"")</f>
        <v/>
      </c>
      <c r="W189" s="36">
        <f>IFERROR(K189/J189,"")</f>
        <v/>
      </c>
      <c r="X189" s="37">
        <f>IFERROR(INDEX('Client Economics'!$J$5:$J$34,MATCH(B189,'Client Economics'!$A$5:$A$34,0)),"")</f>
        <v/>
      </c>
      <c r="Y189" s="37">
        <f>IFERROR(U189/X189,"")</f>
        <v/>
      </c>
      <c r="Z189" s="44">
        <f>IF(D189="","",IF(N(M189)&lt;'KPI Benchmarks'!$D$5,"Attention",IF(N(O189)&lt;'KPI Benchmarks'!$D$6,"Interest",IF(N(Q189)&lt;'KPI Benchmarks'!$D$8,"Page load",IF(N(R189)&lt;'KPI Benchmarks'!$D$9,"Buying intent",IF(N(S189)&lt;'KPI Benchmarks'!$D$10,"Cart",IF(N(T189)&lt;'KPI Benchmarks'!$D$11,"Checkout",IF(X189="","Add economics",IF(N(Y189)&lt;'KPI Benchmarks'!$D$12,"Economics","Healthy – scale")))))))))</f>
        <v/>
      </c>
      <c r="AA189" s="27">
        <f>IF(Z189="","",IF(Z189="Healthy – scale","All stages pass. Add $10–20/day or a new audience; test new creatives beside the main campaign.",IF(Z189="Add economics","Add this client to Client Economics.",IFERROR(INDEX('KPI Benchmarks'!$G$5:$G$12,MATCH(Z189,'KPI Benchmarks'!$A$5:$A$12,0)),""))))</f>
        <v/>
      </c>
      <c r="AB189" s="13" t="n"/>
    </row>
    <row r="190">
      <c r="A190" s="14" t="n"/>
      <c r="B190" s="13" t="n"/>
      <c r="C190" s="34" t="n"/>
      <c r="D190" s="40" t="n"/>
      <c r="E190" s="40" t="n"/>
      <c r="F190" s="40" t="n"/>
      <c r="G190" s="40" t="n"/>
      <c r="H190" s="40" t="n"/>
      <c r="I190" s="40" t="n"/>
      <c r="J190" s="40" t="n"/>
      <c r="K190" s="34" t="n"/>
      <c r="L190" s="36">
        <f>IFERROR(C190/D190*1000,"")</f>
        <v/>
      </c>
      <c r="M190" s="41">
        <f>IFERROR(E190/D190,"")</f>
        <v/>
      </c>
      <c r="N190" s="41">
        <f>IFERROR(F190/D190,"")</f>
        <v/>
      </c>
      <c r="O190" s="42">
        <f>IFERROR(N190/M190,"")</f>
        <v/>
      </c>
      <c r="P190" s="36">
        <f>IFERROR(C190/F190,"")</f>
        <v/>
      </c>
      <c r="Q190" s="42">
        <f>IFERROR(G190/F190,"")</f>
        <v/>
      </c>
      <c r="R190" s="43">
        <f>IFERROR(H190/G190,"")</f>
        <v/>
      </c>
      <c r="S190" s="42">
        <f>IFERROR(I190/H190,"")</f>
        <v/>
      </c>
      <c r="T190" s="42">
        <f>IFERROR(J190/I190,"")</f>
        <v/>
      </c>
      <c r="U190" s="37">
        <f>IFERROR(K190/C190,"")</f>
        <v/>
      </c>
      <c r="V190" s="36">
        <f>IFERROR(C190/J190,"")</f>
        <v/>
      </c>
      <c r="W190" s="36">
        <f>IFERROR(K190/J190,"")</f>
        <v/>
      </c>
      <c r="X190" s="37">
        <f>IFERROR(INDEX('Client Economics'!$J$5:$J$34,MATCH(B190,'Client Economics'!$A$5:$A$34,0)),"")</f>
        <v/>
      </c>
      <c r="Y190" s="37">
        <f>IFERROR(U190/X190,"")</f>
        <v/>
      </c>
      <c r="Z190" s="44">
        <f>IF(D190="","",IF(N(M190)&lt;'KPI Benchmarks'!$D$5,"Attention",IF(N(O190)&lt;'KPI Benchmarks'!$D$6,"Interest",IF(N(Q190)&lt;'KPI Benchmarks'!$D$8,"Page load",IF(N(R190)&lt;'KPI Benchmarks'!$D$9,"Buying intent",IF(N(S190)&lt;'KPI Benchmarks'!$D$10,"Cart",IF(N(T190)&lt;'KPI Benchmarks'!$D$11,"Checkout",IF(X190="","Add economics",IF(N(Y190)&lt;'KPI Benchmarks'!$D$12,"Economics","Healthy – scale")))))))))</f>
        <v/>
      </c>
      <c r="AA190" s="27">
        <f>IF(Z190="","",IF(Z190="Healthy – scale","All stages pass. Add $10–20/day or a new audience; test new creatives beside the main campaign.",IF(Z190="Add economics","Add this client to Client Economics.",IFERROR(INDEX('KPI Benchmarks'!$G$5:$G$12,MATCH(Z190,'KPI Benchmarks'!$A$5:$A$12,0)),""))))</f>
        <v/>
      </c>
      <c r="AB190" s="13" t="n"/>
    </row>
    <row r="191">
      <c r="A191" s="14" t="n"/>
      <c r="B191" s="13" t="n"/>
      <c r="C191" s="34" t="n"/>
      <c r="D191" s="40" t="n"/>
      <c r="E191" s="40" t="n"/>
      <c r="F191" s="40" t="n"/>
      <c r="G191" s="40" t="n"/>
      <c r="H191" s="40" t="n"/>
      <c r="I191" s="40" t="n"/>
      <c r="J191" s="40" t="n"/>
      <c r="K191" s="34" t="n"/>
      <c r="L191" s="36">
        <f>IFERROR(C191/D191*1000,"")</f>
        <v/>
      </c>
      <c r="M191" s="41">
        <f>IFERROR(E191/D191,"")</f>
        <v/>
      </c>
      <c r="N191" s="41">
        <f>IFERROR(F191/D191,"")</f>
        <v/>
      </c>
      <c r="O191" s="42">
        <f>IFERROR(N191/M191,"")</f>
        <v/>
      </c>
      <c r="P191" s="36">
        <f>IFERROR(C191/F191,"")</f>
        <v/>
      </c>
      <c r="Q191" s="42">
        <f>IFERROR(G191/F191,"")</f>
        <v/>
      </c>
      <c r="R191" s="43">
        <f>IFERROR(H191/G191,"")</f>
        <v/>
      </c>
      <c r="S191" s="42">
        <f>IFERROR(I191/H191,"")</f>
        <v/>
      </c>
      <c r="T191" s="42">
        <f>IFERROR(J191/I191,"")</f>
        <v/>
      </c>
      <c r="U191" s="37">
        <f>IFERROR(K191/C191,"")</f>
        <v/>
      </c>
      <c r="V191" s="36">
        <f>IFERROR(C191/J191,"")</f>
        <v/>
      </c>
      <c r="W191" s="36">
        <f>IFERROR(K191/J191,"")</f>
        <v/>
      </c>
      <c r="X191" s="37">
        <f>IFERROR(INDEX('Client Economics'!$J$5:$J$34,MATCH(B191,'Client Economics'!$A$5:$A$34,0)),"")</f>
        <v/>
      </c>
      <c r="Y191" s="37">
        <f>IFERROR(U191/X191,"")</f>
        <v/>
      </c>
      <c r="Z191" s="44">
        <f>IF(D191="","",IF(N(M191)&lt;'KPI Benchmarks'!$D$5,"Attention",IF(N(O191)&lt;'KPI Benchmarks'!$D$6,"Interest",IF(N(Q191)&lt;'KPI Benchmarks'!$D$8,"Page load",IF(N(R191)&lt;'KPI Benchmarks'!$D$9,"Buying intent",IF(N(S191)&lt;'KPI Benchmarks'!$D$10,"Cart",IF(N(T191)&lt;'KPI Benchmarks'!$D$11,"Checkout",IF(X191="","Add economics",IF(N(Y191)&lt;'KPI Benchmarks'!$D$12,"Economics","Healthy – scale")))))))))</f>
        <v/>
      </c>
      <c r="AA191" s="27">
        <f>IF(Z191="","",IF(Z191="Healthy – scale","All stages pass. Add $10–20/day or a new audience; test new creatives beside the main campaign.",IF(Z191="Add economics","Add this client to Client Economics.",IFERROR(INDEX('KPI Benchmarks'!$G$5:$G$12,MATCH(Z191,'KPI Benchmarks'!$A$5:$A$12,0)),""))))</f>
        <v/>
      </c>
      <c r="AB191" s="13" t="n"/>
    </row>
    <row r="192">
      <c r="A192" s="14" t="n"/>
      <c r="B192" s="13" t="n"/>
      <c r="C192" s="34" t="n"/>
      <c r="D192" s="40" t="n"/>
      <c r="E192" s="40" t="n"/>
      <c r="F192" s="40" t="n"/>
      <c r="G192" s="40" t="n"/>
      <c r="H192" s="40" t="n"/>
      <c r="I192" s="40" t="n"/>
      <c r="J192" s="40" t="n"/>
      <c r="K192" s="34" t="n"/>
      <c r="L192" s="36">
        <f>IFERROR(C192/D192*1000,"")</f>
        <v/>
      </c>
      <c r="M192" s="41">
        <f>IFERROR(E192/D192,"")</f>
        <v/>
      </c>
      <c r="N192" s="41">
        <f>IFERROR(F192/D192,"")</f>
        <v/>
      </c>
      <c r="O192" s="42">
        <f>IFERROR(N192/M192,"")</f>
        <v/>
      </c>
      <c r="P192" s="36">
        <f>IFERROR(C192/F192,"")</f>
        <v/>
      </c>
      <c r="Q192" s="42">
        <f>IFERROR(G192/F192,"")</f>
        <v/>
      </c>
      <c r="R192" s="43">
        <f>IFERROR(H192/G192,"")</f>
        <v/>
      </c>
      <c r="S192" s="42">
        <f>IFERROR(I192/H192,"")</f>
        <v/>
      </c>
      <c r="T192" s="42">
        <f>IFERROR(J192/I192,"")</f>
        <v/>
      </c>
      <c r="U192" s="37">
        <f>IFERROR(K192/C192,"")</f>
        <v/>
      </c>
      <c r="V192" s="36">
        <f>IFERROR(C192/J192,"")</f>
        <v/>
      </c>
      <c r="W192" s="36">
        <f>IFERROR(K192/J192,"")</f>
        <v/>
      </c>
      <c r="X192" s="37">
        <f>IFERROR(INDEX('Client Economics'!$J$5:$J$34,MATCH(B192,'Client Economics'!$A$5:$A$34,0)),"")</f>
        <v/>
      </c>
      <c r="Y192" s="37">
        <f>IFERROR(U192/X192,"")</f>
        <v/>
      </c>
      <c r="Z192" s="44">
        <f>IF(D192="","",IF(N(M192)&lt;'KPI Benchmarks'!$D$5,"Attention",IF(N(O192)&lt;'KPI Benchmarks'!$D$6,"Interest",IF(N(Q192)&lt;'KPI Benchmarks'!$D$8,"Page load",IF(N(R192)&lt;'KPI Benchmarks'!$D$9,"Buying intent",IF(N(S192)&lt;'KPI Benchmarks'!$D$10,"Cart",IF(N(T192)&lt;'KPI Benchmarks'!$D$11,"Checkout",IF(X192="","Add economics",IF(N(Y192)&lt;'KPI Benchmarks'!$D$12,"Economics","Healthy – scale")))))))))</f>
        <v/>
      </c>
      <c r="AA192" s="27">
        <f>IF(Z192="","",IF(Z192="Healthy – scale","All stages pass. Add $10–20/day or a new audience; test new creatives beside the main campaign.",IF(Z192="Add economics","Add this client to Client Economics.",IFERROR(INDEX('KPI Benchmarks'!$G$5:$G$12,MATCH(Z192,'KPI Benchmarks'!$A$5:$A$12,0)),""))))</f>
        <v/>
      </c>
      <c r="AB192" s="13" t="n"/>
    </row>
    <row r="193">
      <c r="A193" s="14" t="n"/>
      <c r="B193" s="13" t="n"/>
      <c r="C193" s="34" t="n"/>
      <c r="D193" s="40" t="n"/>
      <c r="E193" s="40" t="n"/>
      <c r="F193" s="40" t="n"/>
      <c r="G193" s="40" t="n"/>
      <c r="H193" s="40" t="n"/>
      <c r="I193" s="40" t="n"/>
      <c r="J193" s="40" t="n"/>
      <c r="K193" s="34" t="n"/>
      <c r="L193" s="36">
        <f>IFERROR(C193/D193*1000,"")</f>
        <v/>
      </c>
      <c r="M193" s="41">
        <f>IFERROR(E193/D193,"")</f>
        <v/>
      </c>
      <c r="N193" s="41">
        <f>IFERROR(F193/D193,"")</f>
        <v/>
      </c>
      <c r="O193" s="42">
        <f>IFERROR(N193/M193,"")</f>
        <v/>
      </c>
      <c r="P193" s="36">
        <f>IFERROR(C193/F193,"")</f>
        <v/>
      </c>
      <c r="Q193" s="42">
        <f>IFERROR(G193/F193,"")</f>
        <v/>
      </c>
      <c r="R193" s="43">
        <f>IFERROR(H193/G193,"")</f>
        <v/>
      </c>
      <c r="S193" s="42">
        <f>IFERROR(I193/H193,"")</f>
        <v/>
      </c>
      <c r="T193" s="42">
        <f>IFERROR(J193/I193,"")</f>
        <v/>
      </c>
      <c r="U193" s="37">
        <f>IFERROR(K193/C193,"")</f>
        <v/>
      </c>
      <c r="V193" s="36">
        <f>IFERROR(C193/J193,"")</f>
        <v/>
      </c>
      <c r="W193" s="36">
        <f>IFERROR(K193/J193,"")</f>
        <v/>
      </c>
      <c r="X193" s="37">
        <f>IFERROR(INDEX('Client Economics'!$J$5:$J$34,MATCH(B193,'Client Economics'!$A$5:$A$34,0)),"")</f>
        <v/>
      </c>
      <c r="Y193" s="37">
        <f>IFERROR(U193/X193,"")</f>
        <v/>
      </c>
      <c r="Z193" s="44">
        <f>IF(D193="","",IF(N(M193)&lt;'KPI Benchmarks'!$D$5,"Attention",IF(N(O193)&lt;'KPI Benchmarks'!$D$6,"Interest",IF(N(Q193)&lt;'KPI Benchmarks'!$D$8,"Page load",IF(N(R193)&lt;'KPI Benchmarks'!$D$9,"Buying intent",IF(N(S193)&lt;'KPI Benchmarks'!$D$10,"Cart",IF(N(T193)&lt;'KPI Benchmarks'!$D$11,"Checkout",IF(X193="","Add economics",IF(N(Y193)&lt;'KPI Benchmarks'!$D$12,"Economics","Healthy – scale")))))))))</f>
        <v/>
      </c>
      <c r="AA193" s="27">
        <f>IF(Z193="","",IF(Z193="Healthy – scale","All stages pass. Add $10–20/day or a new audience; test new creatives beside the main campaign.",IF(Z193="Add economics","Add this client to Client Economics.",IFERROR(INDEX('KPI Benchmarks'!$G$5:$G$12,MATCH(Z193,'KPI Benchmarks'!$A$5:$A$12,0)),""))))</f>
        <v/>
      </c>
      <c r="AB193" s="13" t="n"/>
    </row>
    <row r="194">
      <c r="A194" s="14" t="n"/>
      <c r="B194" s="13" t="n"/>
      <c r="C194" s="34" t="n"/>
      <c r="D194" s="40" t="n"/>
      <c r="E194" s="40" t="n"/>
      <c r="F194" s="40" t="n"/>
      <c r="G194" s="40" t="n"/>
      <c r="H194" s="40" t="n"/>
      <c r="I194" s="40" t="n"/>
      <c r="J194" s="40" t="n"/>
      <c r="K194" s="34" t="n"/>
      <c r="L194" s="36">
        <f>IFERROR(C194/D194*1000,"")</f>
        <v/>
      </c>
      <c r="M194" s="41">
        <f>IFERROR(E194/D194,"")</f>
        <v/>
      </c>
      <c r="N194" s="41">
        <f>IFERROR(F194/D194,"")</f>
        <v/>
      </c>
      <c r="O194" s="42">
        <f>IFERROR(N194/M194,"")</f>
        <v/>
      </c>
      <c r="P194" s="36">
        <f>IFERROR(C194/F194,"")</f>
        <v/>
      </c>
      <c r="Q194" s="42">
        <f>IFERROR(G194/F194,"")</f>
        <v/>
      </c>
      <c r="R194" s="43">
        <f>IFERROR(H194/G194,"")</f>
        <v/>
      </c>
      <c r="S194" s="42">
        <f>IFERROR(I194/H194,"")</f>
        <v/>
      </c>
      <c r="T194" s="42">
        <f>IFERROR(J194/I194,"")</f>
        <v/>
      </c>
      <c r="U194" s="37">
        <f>IFERROR(K194/C194,"")</f>
        <v/>
      </c>
      <c r="V194" s="36">
        <f>IFERROR(C194/J194,"")</f>
        <v/>
      </c>
      <c r="W194" s="36">
        <f>IFERROR(K194/J194,"")</f>
        <v/>
      </c>
      <c r="X194" s="37">
        <f>IFERROR(INDEX('Client Economics'!$J$5:$J$34,MATCH(B194,'Client Economics'!$A$5:$A$34,0)),"")</f>
        <v/>
      </c>
      <c r="Y194" s="37">
        <f>IFERROR(U194/X194,"")</f>
        <v/>
      </c>
      <c r="Z194" s="44">
        <f>IF(D194="","",IF(N(M194)&lt;'KPI Benchmarks'!$D$5,"Attention",IF(N(O194)&lt;'KPI Benchmarks'!$D$6,"Interest",IF(N(Q194)&lt;'KPI Benchmarks'!$D$8,"Page load",IF(N(R194)&lt;'KPI Benchmarks'!$D$9,"Buying intent",IF(N(S194)&lt;'KPI Benchmarks'!$D$10,"Cart",IF(N(T194)&lt;'KPI Benchmarks'!$D$11,"Checkout",IF(X194="","Add economics",IF(N(Y194)&lt;'KPI Benchmarks'!$D$12,"Economics","Healthy – scale")))))))))</f>
        <v/>
      </c>
      <c r="AA194" s="27">
        <f>IF(Z194="","",IF(Z194="Healthy – scale","All stages pass. Add $10–20/day or a new audience; test new creatives beside the main campaign.",IF(Z194="Add economics","Add this client to Client Economics.",IFERROR(INDEX('KPI Benchmarks'!$G$5:$G$12,MATCH(Z194,'KPI Benchmarks'!$A$5:$A$12,0)),""))))</f>
        <v/>
      </c>
      <c r="AB194" s="13" t="n"/>
    </row>
    <row r="195">
      <c r="A195" s="14" t="n"/>
      <c r="B195" s="13" t="n"/>
      <c r="C195" s="34" t="n"/>
      <c r="D195" s="40" t="n"/>
      <c r="E195" s="40" t="n"/>
      <c r="F195" s="40" t="n"/>
      <c r="G195" s="40" t="n"/>
      <c r="H195" s="40" t="n"/>
      <c r="I195" s="40" t="n"/>
      <c r="J195" s="40" t="n"/>
      <c r="K195" s="34" t="n"/>
      <c r="L195" s="36">
        <f>IFERROR(C195/D195*1000,"")</f>
        <v/>
      </c>
      <c r="M195" s="41">
        <f>IFERROR(E195/D195,"")</f>
        <v/>
      </c>
      <c r="N195" s="41">
        <f>IFERROR(F195/D195,"")</f>
        <v/>
      </c>
      <c r="O195" s="42">
        <f>IFERROR(N195/M195,"")</f>
        <v/>
      </c>
      <c r="P195" s="36">
        <f>IFERROR(C195/F195,"")</f>
        <v/>
      </c>
      <c r="Q195" s="42">
        <f>IFERROR(G195/F195,"")</f>
        <v/>
      </c>
      <c r="R195" s="43">
        <f>IFERROR(H195/G195,"")</f>
        <v/>
      </c>
      <c r="S195" s="42">
        <f>IFERROR(I195/H195,"")</f>
        <v/>
      </c>
      <c r="T195" s="42">
        <f>IFERROR(J195/I195,"")</f>
        <v/>
      </c>
      <c r="U195" s="37">
        <f>IFERROR(K195/C195,"")</f>
        <v/>
      </c>
      <c r="V195" s="36">
        <f>IFERROR(C195/J195,"")</f>
        <v/>
      </c>
      <c r="W195" s="36">
        <f>IFERROR(K195/J195,"")</f>
        <v/>
      </c>
      <c r="X195" s="37">
        <f>IFERROR(INDEX('Client Economics'!$J$5:$J$34,MATCH(B195,'Client Economics'!$A$5:$A$34,0)),"")</f>
        <v/>
      </c>
      <c r="Y195" s="37">
        <f>IFERROR(U195/X195,"")</f>
        <v/>
      </c>
      <c r="Z195" s="44">
        <f>IF(D195="","",IF(N(M195)&lt;'KPI Benchmarks'!$D$5,"Attention",IF(N(O195)&lt;'KPI Benchmarks'!$D$6,"Interest",IF(N(Q195)&lt;'KPI Benchmarks'!$D$8,"Page load",IF(N(R195)&lt;'KPI Benchmarks'!$D$9,"Buying intent",IF(N(S195)&lt;'KPI Benchmarks'!$D$10,"Cart",IF(N(T195)&lt;'KPI Benchmarks'!$D$11,"Checkout",IF(X195="","Add economics",IF(N(Y195)&lt;'KPI Benchmarks'!$D$12,"Economics","Healthy – scale")))))))))</f>
        <v/>
      </c>
      <c r="AA195" s="27">
        <f>IF(Z195="","",IF(Z195="Healthy – scale","All stages pass. Add $10–20/day or a new audience; test new creatives beside the main campaign.",IF(Z195="Add economics","Add this client to Client Economics.",IFERROR(INDEX('KPI Benchmarks'!$G$5:$G$12,MATCH(Z195,'KPI Benchmarks'!$A$5:$A$12,0)),""))))</f>
        <v/>
      </c>
      <c r="AB195" s="13" t="n"/>
    </row>
    <row r="196">
      <c r="A196" s="14" t="n"/>
      <c r="B196" s="13" t="n"/>
      <c r="C196" s="34" t="n"/>
      <c r="D196" s="40" t="n"/>
      <c r="E196" s="40" t="n"/>
      <c r="F196" s="40" t="n"/>
      <c r="G196" s="40" t="n"/>
      <c r="H196" s="40" t="n"/>
      <c r="I196" s="40" t="n"/>
      <c r="J196" s="40" t="n"/>
      <c r="K196" s="34" t="n"/>
      <c r="L196" s="36">
        <f>IFERROR(C196/D196*1000,"")</f>
        <v/>
      </c>
      <c r="M196" s="41">
        <f>IFERROR(E196/D196,"")</f>
        <v/>
      </c>
      <c r="N196" s="41">
        <f>IFERROR(F196/D196,"")</f>
        <v/>
      </c>
      <c r="O196" s="42">
        <f>IFERROR(N196/M196,"")</f>
        <v/>
      </c>
      <c r="P196" s="36">
        <f>IFERROR(C196/F196,"")</f>
        <v/>
      </c>
      <c r="Q196" s="42">
        <f>IFERROR(G196/F196,"")</f>
        <v/>
      </c>
      <c r="R196" s="43">
        <f>IFERROR(H196/G196,"")</f>
        <v/>
      </c>
      <c r="S196" s="42">
        <f>IFERROR(I196/H196,"")</f>
        <v/>
      </c>
      <c r="T196" s="42">
        <f>IFERROR(J196/I196,"")</f>
        <v/>
      </c>
      <c r="U196" s="37">
        <f>IFERROR(K196/C196,"")</f>
        <v/>
      </c>
      <c r="V196" s="36">
        <f>IFERROR(C196/J196,"")</f>
        <v/>
      </c>
      <c r="W196" s="36">
        <f>IFERROR(K196/J196,"")</f>
        <v/>
      </c>
      <c r="X196" s="37">
        <f>IFERROR(INDEX('Client Economics'!$J$5:$J$34,MATCH(B196,'Client Economics'!$A$5:$A$34,0)),"")</f>
        <v/>
      </c>
      <c r="Y196" s="37">
        <f>IFERROR(U196/X196,"")</f>
        <v/>
      </c>
      <c r="Z196" s="44">
        <f>IF(D196="","",IF(N(M196)&lt;'KPI Benchmarks'!$D$5,"Attention",IF(N(O196)&lt;'KPI Benchmarks'!$D$6,"Interest",IF(N(Q196)&lt;'KPI Benchmarks'!$D$8,"Page load",IF(N(R196)&lt;'KPI Benchmarks'!$D$9,"Buying intent",IF(N(S196)&lt;'KPI Benchmarks'!$D$10,"Cart",IF(N(T196)&lt;'KPI Benchmarks'!$D$11,"Checkout",IF(X196="","Add economics",IF(N(Y196)&lt;'KPI Benchmarks'!$D$12,"Economics","Healthy – scale")))))))))</f>
        <v/>
      </c>
      <c r="AA196" s="27">
        <f>IF(Z196="","",IF(Z196="Healthy – scale","All stages pass. Add $10–20/day or a new audience; test new creatives beside the main campaign.",IF(Z196="Add economics","Add this client to Client Economics.",IFERROR(INDEX('KPI Benchmarks'!$G$5:$G$12,MATCH(Z196,'KPI Benchmarks'!$A$5:$A$12,0)),""))))</f>
        <v/>
      </c>
      <c r="AB196" s="13" t="n"/>
    </row>
    <row r="197">
      <c r="A197" s="14" t="n"/>
      <c r="B197" s="13" t="n"/>
      <c r="C197" s="34" t="n"/>
      <c r="D197" s="40" t="n"/>
      <c r="E197" s="40" t="n"/>
      <c r="F197" s="40" t="n"/>
      <c r="G197" s="40" t="n"/>
      <c r="H197" s="40" t="n"/>
      <c r="I197" s="40" t="n"/>
      <c r="J197" s="40" t="n"/>
      <c r="K197" s="34" t="n"/>
      <c r="L197" s="36">
        <f>IFERROR(C197/D197*1000,"")</f>
        <v/>
      </c>
      <c r="M197" s="41">
        <f>IFERROR(E197/D197,"")</f>
        <v/>
      </c>
      <c r="N197" s="41">
        <f>IFERROR(F197/D197,"")</f>
        <v/>
      </c>
      <c r="O197" s="42">
        <f>IFERROR(N197/M197,"")</f>
        <v/>
      </c>
      <c r="P197" s="36">
        <f>IFERROR(C197/F197,"")</f>
        <v/>
      </c>
      <c r="Q197" s="42">
        <f>IFERROR(G197/F197,"")</f>
        <v/>
      </c>
      <c r="R197" s="43">
        <f>IFERROR(H197/G197,"")</f>
        <v/>
      </c>
      <c r="S197" s="42">
        <f>IFERROR(I197/H197,"")</f>
        <v/>
      </c>
      <c r="T197" s="42">
        <f>IFERROR(J197/I197,"")</f>
        <v/>
      </c>
      <c r="U197" s="37">
        <f>IFERROR(K197/C197,"")</f>
        <v/>
      </c>
      <c r="V197" s="36">
        <f>IFERROR(C197/J197,"")</f>
        <v/>
      </c>
      <c r="W197" s="36">
        <f>IFERROR(K197/J197,"")</f>
        <v/>
      </c>
      <c r="X197" s="37">
        <f>IFERROR(INDEX('Client Economics'!$J$5:$J$34,MATCH(B197,'Client Economics'!$A$5:$A$34,0)),"")</f>
        <v/>
      </c>
      <c r="Y197" s="37">
        <f>IFERROR(U197/X197,"")</f>
        <v/>
      </c>
      <c r="Z197" s="44">
        <f>IF(D197="","",IF(N(M197)&lt;'KPI Benchmarks'!$D$5,"Attention",IF(N(O197)&lt;'KPI Benchmarks'!$D$6,"Interest",IF(N(Q197)&lt;'KPI Benchmarks'!$D$8,"Page load",IF(N(R197)&lt;'KPI Benchmarks'!$D$9,"Buying intent",IF(N(S197)&lt;'KPI Benchmarks'!$D$10,"Cart",IF(N(T197)&lt;'KPI Benchmarks'!$D$11,"Checkout",IF(X197="","Add economics",IF(N(Y197)&lt;'KPI Benchmarks'!$D$12,"Economics","Healthy – scale")))))))))</f>
        <v/>
      </c>
      <c r="AA197" s="27">
        <f>IF(Z197="","",IF(Z197="Healthy – scale","All stages pass. Add $10–20/day or a new audience; test new creatives beside the main campaign.",IF(Z197="Add economics","Add this client to Client Economics.",IFERROR(INDEX('KPI Benchmarks'!$G$5:$G$12,MATCH(Z197,'KPI Benchmarks'!$A$5:$A$12,0)),""))))</f>
        <v/>
      </c>
      <c r="AB197" s="13" t="n"/>
    </row>
    <row r="198">
      <c r="A198" s="14" t="n"/>
      <c r="B198" s="13" t="n"/>
      <c r="C198" s="34" t="n"/>
      <c r="D198" s="40" t="n"/>
      <c r="E198" s="40" t="n"/>
      <c r="F198" s="40" t="n"/>
      <c r="G198" s="40" t="n"/>
      <c r="H198" s="40" t="n"/>
      <c r="I198" s="40" t="n"/>
      <c r="J198" s="40" t="n"/>
      <c r="K198" s="34" t="n"/>
      <c r="L198" s="36">
        <f>IFERROR(C198/D198*1000,"")</f>
        <v/>
      </c>
      <c r="M198" s="41">
        <f>IFERROR(E198/D198,"")</f>
        <v/>
      </c>
      <c r="N198" s="41">
        <f>IFERROR(F198/D198,"")</f>
        <v/>
      </c>
      <c r="O198" s="42">
        <f>IFERROR(N198/M198,"")</f>
        <v/>
      </c>
      <c r="P198" s="36">
        <f>IFERROR(C198/F198,"")</f>
        <v/>
      </c>
      <c r="Q198" s="42">
        <f>IFERROR(G198/F198,"")</f>
        <v/>
      </c>
      <c r="R198" s="43">
        <f>IFERROR(H198/G198,"")</f>
        <v/>
      </c>
      <c r="S198" s="42">
        <f>IFERROR(I198/H198,"")</f>
        <v/>
      </c>
      <c r="T198" s="42">
        <f>IFERROR(J198/I198,"")</f>
        <v/>
      </c>
      <c r="U198" s="37">
        <f>IFERROR(K198/C198,"")</f>
        <v/>
      </c>
      <c r="V198" s="36">
        <f>IFERROR(C198/J198,"")</f>
        <v/>
      </c>
      <c r="W198" s="36">
        <f>IFERROR(K198/J198,"")</f>
        <v/>
      </c>
      <c r="X198" s="37">
        <f>IFERROR(INDEX('Client Economics'!$J$5:$J$34,MATCH(B198,'Client Economics'!$A$5:$A$34,0)),"")</f>
        <v/>
      </c>
      <c r="Y198" s="37">
        <f>IFERROR(U198/X198,"")</f>
        <v/>
      </c>
      <c r="Z198" s="44">
        <f>IF(D198="","",IF(N(M198)&lt;'KPI Benchmarks'!$D$5,"Attention",IF(N(O198)&lt;'KPI Benchmarks'!$D$6,"Interest",IF(N(Q198)&lt;'KPI Benchmarks'!$D$8,"Page load",IF(N(R198)&lt;'KPI Benchmarks'!$D$9,"Buying intent",IF(N(S198)&lt;'KPI Benchmarks'!$D$10,"Cart",IF(N(T198)&lt;'KPI Benchmarks'!$D$11,"Checkout",IF(X198="","Add economics",IF(N(Y198)&lt;'KPI Benchmarks'!$D$12,"Economics","Healthy – scale")))))))))</f>
        <v/>
      </c>
      <c r="AA198" s="27">
        <f>IF(Z198="","",IF(Z198="Healthy – scale","All stages pass. Add $10–20/day or a new audience; test new creatives beside the main campaign.",IF(Z198="Add economics","Add this client to Client Economics.",IFERROR(INDEX('KPI Benchmarks'!$G$5:$G$12,MATCH(Z198,'KPI Benchmarks'!$A$5:$A$12,0)),""))))</f>
        <v/>
      </c>
      <c r="AB198" s="13" t="n"/>
    </row>
    <row r="199">
      <c r="A199" s="14" t="n"/>
      <c r="B199" s="13" t="n"/>
      <c r="C199" s="34" t="n"/>
      <c r="D199" s="40" t="n"/>
      <c r="E199" s="40" t="n"/>
      <c r="F199" s="40" t="n"/>
      <c r="G199" s="40" t="n"/>
      <c r="H199" s="40" t="n"/>
      <c r="I199" s="40" t="n"/>
      <c r="J199" s="40" t="n"/>
      <c r="K199" s="34" t="n"/>
      <c r="L199" s="36">
        <f>IFERROR(C199/D199*1000,"")</f>
        <v/>
      </c>
      <c r="M199" s="41">
        <f>IFERROR(E199/D199,"")</f>
        <v/>
      </c>
      <c r="N199" s="41">
        <f>IFERROR(F199/D199,"")</f>
        <v/>
      </c>
      <c r="O199" s="42">
        <f>IFERROR(N199/M199,"")</f>
        <v/>
      </c>
      <c r="P199" s="36">
        <f>IFERROR(C199/F199,"")</f>
        <v/>
      </c>
      <c r="Q199" s="42">
        <f>IFERROR(G199/F199,"")</f>
        <v/>
      </c>
      <c r="R199" s="43">
        <f>IFERROR(H199/G199,"")</f>
        <v/>
      </c>
      <c r="S199" s="42">
        <f>IFERROR(I199/H199,"")</f>
        <v/>
      </c>
      <c r="T199" s="42">
        <f>IFERROR(J199/I199,"")</f>
        <v/>
      </c>
      <c r="U199" s="37">
        <f>IFERROR(K199/C199,"")</f>
        <v/>
      </c>
      <c r="V199" s="36">
        <f>IFERROR(C199/J199,"")</f>
        <v/>
      </c>
      <c r="W199" s="36">
        <f>IFERROR(K199/J199,"")</f>
        <v/>
      </c>
      <c r="X199" s="37">
        <f>IFERROR(INDEX('Client Economics'!$J$5:$J$34,MATCH(B199,'Client Economics'!$A$5:$A$34,0)),"")</f>
        <v/>
      </c>
      <c r="Y199" s="37">
        <f>IFERROR(U199/X199,"")</f>
        <v/>
      </c>
      <c r="Z199" s="44">
        <f>IF(D199="","",IF(N(M199)&lt;'KPI Benchmarks'!$D$5,"Attention",IF(N(O199)&lt;'KPI Benchmarks'!$D$6,"Interest",IF(N(Q199)&lt;'KPI Benchmarks'!$D$8,"Page load",IF(N(R199)&lt;'KPI Benchmarks'!$D$9,"Buying intent",IF(N(S199)&lt;'KPI Benchmarks'!$D$10,"Cart",IF(N(T199)&lt;'KPI Benchmarks'!$D$11,"Checkout",IF(X199="","Add economics",IF(N(Y199)&lt;'KPI Benchmarks'!$D$12,"Economics","Healthy – scale")))))))))</f>
        <v/>
      </c>
      <c r="AA199" s="27">
        <f>IF(Z199="","",IF(Z199="Healthy – scale","All stages pass. Add $10–20/day or a new audience; test new creatives beside the main campaign.",IF(Z199="Add economics","Add this client to Client Economics.",IFERROR(INDEX('KPI Benchmarks'!$G$5:$G$12,MATCH(Z199,'KPI Benchmarks'!$A$5:$A$12,0)),""))))</f>
        <v/>
      </c>
      <c r="AB199" s="13" t="n"/>
    </row>
    <row r="200">
      <c r="A200" s="14" t="n"/>
      <c r="B200" s="13" t="n"/>
      <c r="C200" s="34" t="n"/>
      <c r="D200" s="40" t="n"/>
      <c r="E200" s="40" t="n"/>
      <c r="F200" s="40" t="n"/>
      <c r="G200" s="40" t="n"/>
      <c r="H200" s="40" t="n"/>
      <c r="I200" s="40" t="n"/>
      <c r="J200" s="40" t="n"/>
      <c r="K200" s="34" t="n"/>
      <c r="L200" s="36">
        <f>IFERROR(C200/D200*1000,"")</f>
        <v/>
      </c>
      <c r="M200" s="41">
        <f>IFERROR(E200/D200,"")</f>
        <v/>
      </c>
      <c r="N200" s="41">
        <f>IFERROR(F200/D200,"")</f>
        <v/>
      </c>
      <c r="O200" s="42">
        <f>IFERROR(N200/M200,"")</f>
        <v/>
      </c>
      <c r="P200" s="36">
        <f>IFERROR(C200/F200,"")</f>
        <v/>
      </c>
      <c r="Q200" s="42">
        <f>IFERROR(G200/F200,"")</f>
        <v/>
      </c>
      <c r="R200" s="43">
        <f>IFERROR(H200/G200,"")</f>
        <v/>
      </c>
      <c r="S200" s="42">
        <f>IFERROR(I200/H200,"")</f>
        <v/>
      </c>
      <c r="T200" s="42">
        <f>IFERROR(J200/I200,"")</f>
        <v/>
      </c>
      <c r="U200" s="37">
        <f>IFERROR(K200/C200,"")</f>
        <v/>
      </c>
      <c r="V200" s="36">
        <f>IFERROR(C200/J200,"")</f>
        <v/>
      </c>
      <c r="W200" s="36">
        <f>IFERROR(K200/J200,"")</f>
        <v/>
      </c>
      <c r="X200" s="37">
        <f>IFERROR(INDEX('Client Economics'!$J$5:$J$34,MATCH(B200,'Client Economics'!$A$5:$A$34,0)),"")</f>
        <v/>
      </c>
      <c r="Y200" s="37">
        <f>IFERROR(U200/X200,"")</f>
        <v/>
      </c>
      <c r="Z200" s="44">
        <f>IF(D200="","",IF(N(M200)&lt;'KPI Benchmarks'!$D$5,"Attention",IF(N(O200)&lt;'KPI Benchmarks'!$D$6,"Interest",IF(N(Q200)&lt;'KPI Benchmarks'!$D$8,"Page load",IF(N(R200)&lt;'KPI Benchmarks'!$D$9,"Buying intent",IF(N(S200)&lt;'KPI Benchmarks'!$D$10,"Cart",IF(N(T200)&lt;'KPI Benchmarks'!$D$11,"Checkout",IF(X200="","Add economics",IF(N(Y200)&lt;'KPI Benchmarks'!$D$12,"Economics","Healthy – scale")))))))))</f>
        <v/>
      </c>
      <c r="AA200" s="27">
        <f>IF(Z200="","",IF(Z200="Healthy – scale","All stages pass. Add $10–20/day or a new audience; test new creatives beside the main campaign.",IF(Z200="Add economics","Add this client to Client Economics.",IFERROR(INDEX('KPI Benchmarks'!$G$5:$G$12,MATCH(Z200,'KPI Benchmarks'!$A$5:$A$12,0)),""))))</f>
        <v/>
      </c>
      <c r="AB200" s="13" t="n"/>
    </row>
    <row r="201">
      <c r="A201" s="14" t="n"/>
      <c r="B201" s="13" t="n"/>
      <c r="C201" s="34" t="n"/>
      <c r="D201" s="40" t="n"/>
      <c r="E201" s="40" t="n"/>
      <c r="F201" s="40" t="n"/>
      <c r="G201" s="40" t="n"/>
      <c r="H201" s="40" t="n"/>
      <c r="I201" s="40" t="n"/>
      <c r="J201" s="40" t="n"/>
      <c r="K201" s="34" t="n"/>
      <c r="L201" s="36">
        <f>IFERROR(C201/D201*1000,"")</f>
        <v/>
      </c>
      <c r="M201" s="41">
        <f>IFERROR(E201/D201,"")</f>
        <v/>
      </c>
      <c r="N201" s="41">
        <f>IFERROR(F201/D201,"")</f>
        <v/>
      </c>
      <c r="O201" s="42">
        <f>IFERROR(N201/M201,"")</f>
        <v/>
      </c>
      <c r="P201" s="36">
        <f>IFERROR(C201/F201,"")</f>
        <v/>
      </c>
      <c r="Q201" s="42">
        <f>IFERROR(G201/F201,"")</f>
        <v/>
      </c>
      <c r="R201" s="43">
        <f>IFERROR(H201/G201,"")</f>
        <v/>
      </c>
      <c r="S201" s="42">
        <f>IFERROR(I201/H201,"")</f>
        <v/>
      </c>
      <c r="T201" s="42">
        <f>IFERROR(J201/I201,"")</f>
        <v/>
      </c>
      <c r="U201" s="37">
        <f>IFERROR(K201/C201,"")</f>
        <v/>
      </c>
      <c r="V201" s="36">
        <f>IFERROR(C201/J201,"")</f>
        <v/>
      </c>
      <c r="W201" s="36">
        <f>IFERROR(K201/J201,"")</f>
        <v/>
      </c>
      <c r="X201" s="37">
        <f>IFERROR(INDEX('Client Economics'!$J$5:$J$34,MATCH(B201,'Client Economics'!$A$5:$A$34,0)),"")</f>
        <v/>
      </c>
      <c r="Y201" s="37">
        <f>IFERROR(U201/X201,"")</f>
        <v/>
      </c>
      <c r="Z201" s="44">
        <f>IF(D201="","",IF(N(M201)&lt;'KPI Benchmarks'!$D$5,"Attention",IF(N(O201)&lt;'KPI Benchmarks'!$D$6,"Interest",IF(N(Q201)&lt;'KPI Benchmarks'!$D$8,"Page load",IF(N(R201)&lt;'KPI Benchmarks'!$D$9,"Buying intent",IF(N(S201)&lt;'KPI Benchmarks'!$D$10,"Cart",IF(N(T201)&lt;'KPI Benchmarks'!$D$11,"Checkout",IF(X201="","Add economics",IF(N(Y201)&lt;'KPI Benchmarks'!$D$12,"Economics","Healthy – scale")))))))))</f>
        <v/>
      </c>
      <c r="AA201" s="27">
        <f>IF(Z201="","",IF(Z201="Healthy – scale","All stages pass. Add $10–20/day or a new audience; test new creatives beside the main campaign.",IF(Z201="Add economics","Add this client to Client Economics.",IFERROR(INDEX('KPI Benchmarks'!$G$5:$G$12,MATCH(Z201,'KPI Benchmarks'!$A$5:$A$12,0)),""))))</f>
        <v/>
      </c>
      <c r="AB201" s="13" t="n"/>
    </row>
    <row r="202">
      <c r="A202" s="14" t="n"/>
      <c r="B202" s="13" t="n"/>
      <c r="C202" s="34" t="n"/>
      <c r="D202" s="40" t="n"/>
      <c r="E202" s="40" t="n"/>
      <c r="F202" s="40" t="n"/>
      <c r="G202" s="40" t="n"/>
      <c r="H202" s="40" t="n"/>
      <c r="I202" s="40" t="n"/>
      <c r="J202" s="40" t="n"/>
      <c r="K202" s="34" t="n"/>
      <c r="L202" s="36">
        <f>IFERROR(C202/D202*1000,"")</f>
        <v/>
      </c>
      <c r="M202" s="41">
        <f>IFERROR(E202/D202,"")</f>
        <v/>
      </c>
      <c r="N202" s="41">
        <f>IFERROR(F202/D202,"")</f>
        <v/>
      </c>
      <c r="O202" s="42">
        <f>IFERROR(N202/M202,"")</f>
        <v/>
      </c>
      <c r="P202" s="36">
        <f>IFERROR(C202/F202,"")</f>
        <v/>
      </c>
      <c r="Q202" s="42">
        <f>IFERROR(G202/F202,"")</f>
        <v/>
      </c>
      <c r="R202" s="43">
        <f>IFERROR(H202/G202,"")</f>
        <v/>
      </c>
      <c r="S202" s="42">
        <f>IFERROR(I202/H202,"")</f>
        <v/>
      </c>
      <c r="T202" s="42">
        <f>IFERROR(J202/I202,"")</f>
        <v/>
      </c>
      <c r="U202" s="37">
        <f>IFERROR(K202/C202,"")</f>
        <v/>
      </c>
      <c r="V202" s="36">
        <f>IFERROR(C202/J202,"")</f>
        <v/>
      </c>
      <c r="W202" s="36">
        <f>IFERROR(K202/J202,"")</f>
        <v/>
      </c>
      <c r="X202" s="37">
        <f>IFERROR(INDEX('Client Economics'!$J$5:$J$34,MATCH(B202,'Client Economics'!$A$5:$A$34,0)),"")</f>
        <v/>
      </c>
      <c r="Y202" s="37">
        <f>IFERROR(U202/X202,"")</f>
        <v/>
      </c>
      <c r="Z202" s="44">
        <f>IF(D202="","",IF(N(M202)&lt;'KPI Benchmarks'!$D$5,"Attention",IF(N(O202)&lt;'KPI Benchmarks'!$D$6,"Interest",IF(N(Q202)&lt;'KPI Benchmarks'!$D$8,"Page load",IF(N(R202)&lt;'KPI Benchmarks'!$D$9,"Buying intent",IF(N(S202)&lt;'KPI Benchmarks'!$D$10,"Cart",IF(N(T202)&lt;'KPI Benchmarks'!$D$11,"Checkout",IF(X202="","Add economics",IF(N(Y202)&lt;'KPI Benchmarks'!$D$12,"Economics","Healthy – scale")))))))))</f>
        <v/>
      </c>
      <c r="AA202" s="27">
        <f>IF(Z202="","",IF(Z202="Healthy – scale","All stages pass. Add $10–20/day or a new audience; test new creatives beside the main campaign.",IF(Z202="Add economics","Add this client to Client Economics.",IFERROR(INDEX('KPI Benchmarks'!$G$5:$G$12,MATCH(Z202,'KPI Benchmarks'!$A$5:$A$12,0)),""))))</f>
        <v/>
      </c>
      <c r="AB202" s="13" t="n"/>
    </row>
    <row r="203">
      <c r="A203" s="14" t="n"/>
      <c r="B203" s="13" t="n"/>
      <c r="C203" s="34" t="n"/>
      <c r="D203" s="40" t="n"/>
      <c r="E203" s="40" t="n"/>
      <c r="F203" s="40" t="n"/>
      <c r="G203" s="40" t="n"/>
      <c r="H203" s="40" t="n"/>
      <c r="I203" s="40" t="n"/>
      <c r="J203" s="40" t="n"/>
      <c r="K203" s="34" t="n"/>
      <c r="L203" s="36">
        <f>IFERROR(C203/D203*1000,"")</f>
        <v/>
      </c>
      <c r="M203" s="41">
        <f>IFERROR(E203/D203,"")</f>
        <v/>
      </c>
      <c r="N203" s="41">
        <f>IFERROR(F203/D203,"")</f>
        <v/>
      </c>
      <c r="O203" s="42">
        <f>IFERROR(N203/M203,"")</f>
        <v/>
      </c>
      <c r="P203" s="36">
        <f>IFERROR(C203/F203,"")</f>
        <v/>
      </c>
      <c r="Q203" s="42">
        <f>IFERROR(G203/F203,"")</f>
        <v/>
      </c>
      <c r="R203" s="43">
        <f>IFERROR(H203/G203,"")</f>
        <v/>
      </c>
      <c r="S203" s="42">
        <f>IFERROR(I203/H203,"")</f>
        <v/>
      </c>
      <c r="T203" s="42">
        <f>IFERROR(J203/I203,"")</f>
        <v/>
      </c>
      <c r="U203" s="37">
        <f>IFERROR(K203/C203,"")</f>
        <v/>
      </c>
      <c r="V203" s="36">
        <f>IFERROR(C203/J203,"")</f>
        <v/>
      </c>
      <c r="W203" s="36">
        <f>IFERROR(K203/J203,"")</f>
        <v/>
      </c>
      <c r="X203" s="37">
        <f>IFERROR(INDEX('Client Economics'!$J$5:$J$34,MATCH(B203,'Client Economics'!$A$5:$A$34,0)),"")</f>
        <v/>
      </c>
      <c r="Y203" s="37">
        <f>IFERROR(U203/X203,"")</f>
        <v/>
      </c>
      <c r="Z203" s="44">
        <f>IF(D203="","",IF(N(M203)&lt;'KPI Benchmarks'!$D$5,"Attention",IF(N(O203)&lt;'KPI Benchmarks'!$D$6,"Interest",IF(N(Q203)&lt;'KPI Benchmarks'!$D$8,"Page load",IF(N(R203)&lt;'KPI Benchmarks'!$D$9,"Buying intent",IF(N(S203)&lt;'KPI Benchmarks'!$D$10,"Cart",IF(N(T203)&lt;'KPI Benchmarks'!$D$11,"Checkout",IF(X203="","Add economics",IF(N(Y203)&lt;'KPI Benchmarks'!$D$12,"Economics","Healthy – scale")))))))))</f>
        <v/>
      </c>
      <c r="AA203" s="27">
        <f>IF(Z203="","",IF(Z203="Healthy – scale","All stages pass. Add $10–20/day or a new audience; test new creatives beside the main campaign.",IF(Z203="Add economics","Add this client to Client Economics.",IFERROR(INDEX('KPI Benchmarks'!$G$5:$G$12,MATCH(Z203,'KPI Benchmarks'!$A$5:$A$12,0)),""))))</f>
        <v/>
      </c>
      <c r="AB203" s="13" t="n"/>
    </row>
  </sheetData>
  <conditionalFormatting sqref="M5:M203">
    <cfRule type="expression" priority="1" dxfId="2">
      <formula>AND(ISNUMBER(M5),M5&lt;'KPI Benchmarks'!$D$5)</formula>
    </cfRule>
    <cfRule type="expression" priority="2" dxfId="0">
      <formula>AND(ISNUMBER(M5),M5&gt;='KPI Benchmarks'!$D$5)</formula>
    </cfRule>
  </conditionalFormatting>
  <conditionalFormatting sqref="O5:O203">
    <cfRule type="expression" priority="3" dxfId="2">
      <formula>AND(ISNUMBER(O5),O5&lt;'KPI Benchmarks'!$D$6)</formula>
    </cfRule>
    <cfRule type="expression" priority="4" dxfId="0">
      <formula>AND(ISNUMBER(O5),O5&gt;='KPI Benchmarks'!$D$6)</formula>
    </cfRule>
  </conditionalFormatting>
  <conditionalFormatting sqref="Q5:Q203">
    <cfRule type="expression" priority="5" dxfId="2">
      <formula>AND(ISNUMBER(Q5),Q5&lt;'KPI Benchmarks'!$D$8)</formula>
    </cfRule>
    <cfRule type="expression" priority="6" dxfId="0">
      <formula>AND(ISNUMBER(Q5),Q5&gt;='KPI Benchmarks'!$D$8)</formula>
    </cfRule>
  </conditionalFormatting>
  <conditionalFormatting sqref="R5:R203">
    <cfRule type="expression" priority="7" dxfId="2">
      <formula>AND(ISNUMBER(R5),R5&lt;'KPI Benchmarks'!$D$9)</formula>
    </cfRule>
    <cfRule type="expression" priority="8" dxfId="0">
      <formula>AND(ISNUMBER(R5),R5&gt;='KPI Benchmarks'!$D$9)</formula>
    </cfRule>
  </conditionalFormatting>
  <conditionalFormatting sqref="S5:S203">
    <cfRule type="expression" priority="9" dxfId="2">
      <formula>AND(ISNUMBER(S5),S5&lt;'KPI Benchmarks'!$D$10)</formula>
    </cfRule>
    <cfRule type="expression" priority="10" dxfId="0">
      <formula>AND(ISNUMBER(S5),S5&gt;='KPI Benchmarks'!$D$10)</formula>
    </cfRule>
  </conditionalFormatting>
  <conditionalFormatting sqref="T5:T203">
    <cfRule type="expression" priority="11" dxfId="2">
      <formula>AND(ISNUMBER(T5),T5&lt;'KPI Benchmarks'!$D$11)</formula>
    </cfRule>
    <cfRule type="expression" priority="12" dxfId="0">
      <formula>AND(ISNUMBER(T5),T5&gt;='KPI Benchmarks'!$D$11)</formula>
    </cfRule>
  </conditionalFormatting>
  <conditionalFormatting sqref="Y5:Y203">
    <cfRule type="expression" priority="13" dxfId="2">
      <formula>AND(ISNUMBER(Y5),Y5&lt;'KPI Benchmarks'!$D$12)</formula>
    </cfRule>
    <cfRule type="expression" priority="14" dxfId="0">
      <formula>AND(ISNUMBER(Y5),Y5&gt;='KPI Benchmarks'!$D$12)</formula>
    </cfRule>
  </conditionalFormatting>
  <conditionalFormatting sqref="L5:L203">
    <cfRule type="expression" priority="15" dxfId="1">
      <formula>AND(ISNUMBER(L5),L5&gt;'KPI Benchmarks'!$D$7*1.5)</formula>
    </cfRule>
  </conditionalFormatting>
  <conditionalFormatting sqref="Z5:Z203">
    <cfRule type="expression" priority="16" dxfId="0">
      <formula>Z5="Healthy – scale"</formula>
    </cfRule>
    <cfRule type="expression" priority="17" dxfId="2">
      <formula>AND(Z5&lt;&gt;"",Z5&lt;&gt;"Healthy – scale")</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04"/>
  <sheetViews>
    <sheetView showGridLines="0" workbookViewId="0">
      <pane ySplit="4" topLeftCell="A5" activePane="bottomLeft" state="frozen"/>
      <selection pane="bottomLeft" activeCell="A1" sqref="A1"/>
    </sheetView>
  </sheetViews>
  <sheetFormatPr baseColWidth="8" defaultRowHeight="15"/>
  <cols>
    <col width="16" customWidth="1" min="1" max="1"/>
    <col width="9" customWidth="1" min="2" max="2"/>
    <col width="20" customWidth="1" min="3" max="3"/>
    <col width="12" customWidth="1" min="4" max="4"/>
    <col width="30" customWidth="1" min="5" max="5"/>
    <col width="30" customWidth="1" min="6" max="6"/>
    <col width="11" customWidth="1" min="7" max="7"/>
    <col width="9" customWidth="1" min="8" max="8"/>
    <col width="9" customWidth="1" min="9" max="9"/>
    <col width="9" customWidth="1" min="10" max="10"/>
    <col width="9" customWidth="1" min="11" max="11"/>
    <col width="9" customWidth="1" min="12" max="12"/>
    <col width="10" customWidth="1" min="13" max="13"/>
    <col width="9" customWidth="1" min="14" max="14"/>
    <col width="9" customWidth="1" min="15" max="15"/>
    <col width="9" customWidth="1" min="16" max="16"/>
    <col width="10" customWidth="1" min="17" max="17"/>
    <col width="10" customWidth="1" min="18" max="18"/>
    <col width="8" customWidth="1" min="19" max="19"/>
    <col width="10" customWidth="1" min="20" max="20"/>
    <col width="12" customWidth="1" min="21" max="21"/>
    <col width="22" customWidth="1" min="22" max="22"/>
    <col width="36" customWidth="1" min="23" max="23"/>
  </cols>
  <sheetData>
    <row r="1">
      <c r="A1" s="1" t="inlineStr">
        <is>
          <t>Creative Test Log</t>
        </is>
      </c>
    </row>
    <row r="2">
      <c r="A2" s="2" t="inlineStr">
        <is>
          <t>Step 1 of the stairway. One row per ad. Verdict is automatic once an ad reaches the impression cap (KPI Benchmarks D14).</t>
        </is>
      </c>
    </row>
    <row r="4" ht="32" customHeight="1">
      <c r="A4" s="10" t="inlineStr">
        <is>
          <t>Client</t>
        </is>
      </c>
      <c r="B4" s="10" t="inlineStr">
        <is>
          <t>Test ID</t>
        </is>
      </c>
      <c r="C4" s="10" t="inlineStr">
        <is>
          <t>Ad name</t>
        </is>
      </c>
      <c r="D4" s="10" t="inlineStr">
        <is>
          <t>Format</t>
        </is>
      </c>
      <c r="E4" s="10" t="inlineStr">
        <is>
          <t>Angle (one sentence)</t>
        </is>
      </c>
      <c r="F4" s="10" t="inlineStr">
        <is>
          <t>Hook (first 3 seconds)</t>
        </is>
      </c>
      <c r="G4" s="10" t="inlineStr">
        <is>
          <t>Impressions</t>
        </is>
      </c>
      <c r="H4" s="10" t="inlineStr">
        <is>
          <t>Spend ($)</t>
        </is>
      </c>
      <c r="I4" s="10" t="inlineStr">
        <is>
          <t>Clicks (all)</t>
        </is>
      </c>
      <c r="J4" s="10" t="inlineStr">
        <is>
          <t>Link clicks</t>
        </is>
      </c>
      <c r="K4" s="10" t="inlineStr">
        <is>
          <t>Adds to cart</t>
        </is>
      </c>
      <c r="L4" s="10" t="inlineStr">
        <is>
          <t>Purchases</t>
        </is>
      </c>
      <c r="M4" s="10" t="inlineStr">
        <is>
          <t>Revenue ($)</t>
        </is>
      </c>
      <c r="N4" s="10" t="inlineStr">
        <is>
          <t>CPM ($)</t>
        </is>
      </c>
      <c r="O4" s="10" t="inlineStr">
        <is>
          <t>CTR (all)</t>
        </is>
      </c>
      <c r="P4" s="10" t="inlineStr">
        <is>
          <t>Link CTR</t>
        </is>
      </c>
      <c r="Q4" s="10" t="inlineStr">
        <is>
          <t>Link CTR ÷ CTR</t>
        </is>
      </c>
      <c r="R4" s="10" t="inlineStr">
        <is>
          <t>ATC ÷ link clicks</t>
        </is>
      </c>
      <c r="S4" s="10" t="inlineStr">
        <is>
          <t>ROAS</t>
        </is>
      </c>
      <c r="T4" s="10" t="inlineStr">
        <is>
          <t>Reached cap?</t>
        </is>
      </c>
      <c r="U4" s="10" t="inlineStr">
        <is>
          <t>VERDICT</t>
        </is>
      </c>
      <c r="V4" s="10" t="inlineStr">
        <is>
          <t>Suggested role</t>
        </is>
      </c>
      <c r="W4" s="10" t="inlineStr">
        <is>
          <t>Why it won / lost (for next brief)</t>
        </is>
      </c>
    </row>
    <row r="5">
      <c r="A5" s="13" t="inlineStr">
        <is>
          <t>Example Outdoor Co</t>
        </is>
      </c>
      <c r="B5" s="13" t="inlineStr">
        <is>
          <t>CT-01</t>
        </is>
      </c>
      <c r="C5" s="13" t="inlineStr">
        <is>
          <t>Unboxing – eczema mum</t>
        </is>
      </c>
      <c r="D5" s="13" t="inlineStr">
        <is>
          <t>Unboxing</t>
        </is>
      </c>
      <c r="E5" s="13" t="inlineStr">
        <is>
          <t>Toxic-free relief for kids' eczema</t>
        </is>
      </c>
      <c r="F5" s="13" t="inlineStr">
        <is>
          <t>Box opening; 'my boys had eczema…'</t>
        </is>
      </c>
      <c r="G5" s="40" t="n">
        <v>1020</v>
      </c>
      <c r="H5" s="35" t="n">
        <v>31</v>
      </c>
      <c r="I5" s="40" t="n">
        <v>64</v>
      </c>
      <c r="J5" s="40" t="n">
        <v>36</v>
      </c>
      <c r="K5" s="40" t="n">
        <v>5</v>
      </c>
      <c r="L5" s="40" t="n">
        <v>2</v>
      </c>
      <c r="M5" s="34" t="n">
        <v>118</v>
      </c>
      <c r="N5" s="36">
        <f>IFERROR(H5/G5*1000,"")</f>
        <v/>
      </c>
      <c r="O5" s="41">
        <f>IFERROR(I5/G5,"")</f>
        <v/>
      </c>
      <c r="P5" s="41">
        <f>IFERROR(J5/G5,"")</f>
        <v/>
      </c>
      <c r="Q5" s="42">
        <f>IFERROR(P5/O5,"")</f>
        <v/>
      </c>
      <c r="R5" s="43">
        <f>IFERROR(K5/J5,"")</f>
        <v/>
      </c>
      <c r="S5" s="37">
        <f>IFERROR(M5/H5,"")</f>
        <v/>
      </c>
      <c r="T5" s="27">
        <f>IF(G5="","",IF(G5&gt;='KPI Benchmarks'!$D$14,"Yes","No"))</f>
        <v/>
      </c>
      <c r="U5" s="44">
        <f>IF(G5="","",IF(T5="No","Running",IF(AND(N(O5)&gt;='KPI Benchmarks'!$D$5,N(Q5)&gt;='KPI Benchmarks'!$D$6,OR(N(L5)&gt;0,N(K5)&gt;0)),"WINNER",IF(AND(N(O5)&gt;='KPI Benchmarks'!$D$5,N(Q5)&gt;='KPI Benchmarks'!$D$6),"Watch","Cut"))))</f>
        <v/>
      </c>
      <c r="V5" s="27">
        <f>IF(U5="WINNER",IF(N(L5)&gt;0,"Prospecting (ASC / interests)","Retargeting candidate"),IF(U5="Watch","Retest or retargeting","" ))</f>
        <v/>
      </c>
      <c r="W5" s="13" t="inlineStr">
        <is>
          <t>Box-about-to-open hook + emotional pain point; UGC feel builds trust</t>
        </is>
      </c>
    </row>
    <row r="6">
      <c r="A6" s="13" t="n"/>
      <c r="B6" s="13" t="n"/>
      <c r="C6" s="13" t="n"/>
      <c r="D6" s="13" t="n"/>
      <c r="E6" s="13" t="n"/>
      <c r="F6" s="13" t="n"/>
      <c r="G6" s="40" t="n"/>
      <c r="H6" s="35" t="n"/>
      <c r="I6" s="40" t="n"/>
      <c r="J6" s="40" t="n"/>
      <c r="K6" s="40" t="n"/>
      <c r="L6" s="40" t="n"/>
      <c r="M6" s="34" t="n"/>
      <c r="N6" s="36">
        <f>IFERROR(H6/G6*1000,"")</f>
        <v/>
      </c>
      <c r="O6" s="41">
        <f>IFERROR(I6/G6,"")</f>
        <v/>
      </c>
      <c r="P6" s="41">
        <f>IFERROR(J6/G6,"")</f>
        <v/>
      </c>
      <c r="Q6" s="42">
        <f>IFERROR(P6/O6,"")</f>
        <v/>
      </c>
      <c r="R6" s="43">
        <f>IFERROR(K6/J6,"")</f>
        <v/>
      </c>
      <c r="S6" s="37">
        <f>IFERROR(M6/H6,"")</f>
        <v/>
      </c>
      <c r="T6" s="27">
        <f>IF(G6="","",IF(G6&gt;='KPI Benchmarks'!$D$14,"Yes","No"))</f>
        <v/>
      </c>
      <c r="U6" s="44">
        <f>IF(G6="","",IF(T6="No","Running",IF(AND(N(O6)&gt;='KPI Benchmarks'!$D$5,N(Q6)&gt;='KPI Benchmarks'!$D$6,OR(N(L6)&gt;0,N(K6)&gt;0)),"WINNER",IF(AND(N(O6)&gt;='KPI Benchmarks'!$D$5,N(Q6)&gt;='KPI Benchmarks'!$D$6),"Watch","Cut"))))</f>
        <v/>
      </c>
      <c r="V6" s="27">
        <f>IF(U6="WINNER",IF(N(L6)&gt;0,"Prospecting (ASC / interests)","Retargeting candidate"),IF(U6="Watch","Retest or retargeting","" ))</f>
        <v/>
      </c>
      <c r="W6" s="13" t="n"/>
    </row>
    <row r="7">
      <c r="A7" s="13" t="n"/>
      <c r="B7" s="13" t="n"/>
      <c r="C7" s="13" t="n"/>
      <c r="D7" s="13" t="n"/>
      <c r="E7" s="13" t="n"/>
      <c r="F7" s="13" t="n"/>
      <c r="G7" s="40" t="n"/>
      <c r="H7" s="35" t="n"/>
      <c r="I7" s="40" t="n"/>
      <c r="J7" s="40" t="n"/>
      <c r="K7" s="40" t="n"/>
      <c r="L7" s="40" t="n"/>
      <c r="M7" s="34" t="n"/>
      <c r="N7" s="36">
        <f>IFERROR(H7/G7*1000,"")</f>
        <v/>
      </c>
      <c r="O7" s="41">
        <f>IFERROR(I7/G7,"")</f>
        <v/>
      </c>
      <c r="P7" s="41">
        <f>IFERROR(J7/G7,"")</f>
        <v/>
      </c>
      <c r="Q7" s="42">
        <f>IFERROR(P7/O7,"")</f>
        <v/>
      </c>
      <c r="R7" s="43">
        <f>IFERROR(K7/J7,"")</f>
        <v/>
      </c>
      <c r="S7" s="37">
        <f>IFERROR(M7/H7,"")</f>
        <v/>
      </c>
      <c r="T7" s="27">
        <f>IF(G7="","",IF(G7&gt;='KPI Benchmarks'!$D$14,"Yes","No"))</f>
        <v/>
      </c>
      <c r="U7" s="44">
        <f>IF(G7="","",IF(T7="No","Running",IF(AND(N(O7)&gt;='KPI Benchmarks'!$D$5,N(Q7)&gt;='KPI Benchmarks'!$D$6,OR(N(L7)&gt;0,N(K7)&gt;0)),"WINNER",IF(AND(N(O7)&gt;='KPI Benchmarks'!$D$5,N(Q7)&gt;='KPI Benchmarks'!$D$6),"Watch","Cut"))))</f>
        <v/>
      </c>
      <c r="V7" s="27">
        <f>IF(U7="WINNER",IF(N(L7)&gt;0,"Prospecting (ASC / interests)","Retargeting candidate"),IF(U7="Watch","Retest or retargeting","" ))</f>
        <v/>
      </c>
      <c r="W7" s="13" t="n"/>
    </row>
    <row r="8">
      <c r="A8" s="13" t="n"/>
      <c r="B8" s="13" t="n"/>
      <c r="C8" s="13" t="n"/>
      <c r="D8" s="13" t="n"/>
      <c r="E8" s="13" t="n"/>
      <c r="F8" s="13" t="n"/>
      <c r="G8" s="40" t="n"/>
      <c r="H8" s="35" t="n"/>
      <c r="I8" s="40" t="n"/>
      <c r="J8" s="40" t="n"/>
      <c r="K8" s="40" t="n"/>
      <c r="L8" s="40" t="n"/>
      <c r="M8" s="34" t="n"/>
      <c r="N8" s="36">
        <f>IFERROR(H8/G8*1000,"")</f>
        <v/>
      </c>
      <c r="O8" s="41">
        <f>IFERROR(I8/G8,"")</f>
        <v/>
      </c>
      <c r="P8" s="41">
        <f>IFERROR(J8/G8,"")</f>
        <v/>
      </c>
      <c r="Q8" s="42">
        <f>IFERROR(P8/O8,"")</f>
        <v/>
      </c>
      <c r="R8" s="43">
        <f>IFERROR(K8/J8,"")</f>
        <v/>
      </c>
      <c r="S8" s="37">
        <f>IFERROR(M8/H8,"")</f>
        <v/>
      </c>
      <c r="T8" s="27">
        <f>IF(G8="","",IF(G8&gt;='KPI Benchmarks'!$D$14,"Yes","No"))</f>
        <v/>
      </c>
      <c r="U8" s="44">
        <f>IF(G8="","",IF(T8="No","Running",IF(AND(N(O8)&gt;='KPI Benchmarks'!$D$5,N(Q8)&gt;='KPI Benchmarks'!$D$6,OR(N(L8)&gt;0,N(K8)&gt;0)),"WINNER",IF(AND(N(O8)&gt;='KPI Benchmarks'!$D$5,N(Q8)&gt;='KPI Benchmarks'!$D$6),"Watch","Cut"))))</f>
        <v/>
      </c>
      <c r="V8" s="27">
        <f>IF(U8="WINNER",IF(N(L8)&gt;0,"Prospecting (ASC / interests)","Retargeting candidate"),IF(U8="Watch","Retest or retargeting","" ))</f>
        <v/>
      </c>
      <c r="W8" s="13" t="n"/>
    </row>
    <row r="9">
      <c r="A9" s="13" t="n"/>
      <c r="B9" s="13" t="n"/>
      <c r="C9" s="13" t="n"/>
      <c r="D9" s="13" t="n"/>
      <c r="E9" s="13" t="n"/>
      <c r="F9" s="13" t="n"/>
      <c r="G9" s="40" t="n"/>
      <c r="H9" s="35" t="n"/>
      <c r="I9" s="40" t="n"/>
      <c r="J9" s="40" t="n"/>
      <c r="K9" s="40" t="n"/>
      <c r="L9" s="40" t="n"/>
      <c r="M9" s="34" t="n"/>
      <c r="N9" s="36">
        <f>IFERROR(H9/G9*1000,"")</f>
        <v/>
      </c>
      <c r="O9" s="41">
        <f>IFERROR(I9/G9,"")</f>
        <v/>
      </c>
      <c r="P9" s="41">
        <f>IFERROR(J9/G9,"")</f>
        <v/>
      </c>
      <c r="Q9" s="42">
        <f>IFERROR(P9/O9,"")</f>
        <v/>
      </c>
      <c r="R9" s="43">
        <f>IFERROR(K9/J9,"")</f>
        <v/>
      </c>
      <c r="S9" s="37">
        <f>IFERROR(M9/H9,"")</f>
        <v/>
      </c>
      <c r="T9" s="27">
        <f>IF(G9="","",IF(G9&gt;='KPI Benchmarks'!$D$14,"Yes","No"))</f>
        <v/>
      </c>
      <c r="U9" s="44">
        <f>IF(G9="","",IF(T9="No","Running",IF(AND(N(O9)&gt;='KPI Benchmarks'!$D$5,N(Q9)&gt;='KPI Benchmarks'!$D$6,OR(N(L9)&gt;0,N(K9)&gt;0)),"WINNER",IF(AND(N(O9)&gt;='KPI Benchmarks'!$D$5,N(Q9)&gt;='KPI Benchmarks'!$D$6),"Watch","Cut"))))</f>
        <v/>
      </c>
      <c r="V9" s="27">
        <f>IF(U9="WINNER",IF(N(L9)&gt;0,"Prospecting (ASC / interests)","Retargeting candidate"),IF(U9="Watch","Retest or retargeting","" ))</f>
        <v/>
      </c>
      <c r="W9" s="13" t="n"/>
    </row>
    <row r="10">
      <c r="A10" s="13" t="n"/>
      <c r="B10" s="13" t="n"/>
      <c r="C10" s="13" t="n"/>
      <c r="D10" s="13" t="n"/>
      <c r="E10" s="13" t="n"/>
      <c r="F10" s="13" t="n"/>
      <c r="G10" s="40" t="n"/>
      <c r="H10" s="35" t="n"/>
      <c r="I10" s="40" t="n"/>
      <c r="J10" s="40" t="n"/>
      <c r="K10" s="40" t="n"/>
      <c r="L10" s="40" t="n"/>
      <c r="M10" s="34" t="n"/>
      <c r="N10" s="36">
        <f>IFERROR(H10/G10*1000,"")</f>
        <v/>
      </c>
      <c r="O10" s="41">
        <f>IFERROR(I10/G10,"")</f>
        <v/>
      </c>
      <c r="P10" s="41">
        <f>IFERROR(J10/G10,"")</f>
        <v/>
      </c>
      <c r="Q10" s="42">
        <f>IFERROR(P10/O10,"")</f>
        <v/>
      </c>
      <c r="R10" s="43">
        <f>IFERROR(K10/J10,"")</f>
        <v/>
      </c>
      <c r="S10" s="37">
        <f>IFERROR(M10/H10,"")</f>
        <v/>
      </c>
      <c r="T10" s="27">
        <f>IF(G10="","",IF(G10&gt;='KPI Benchmarks'!$D$14,"Yes","No"))</f>
        <v/>
      </c>
      <c r="U10" s="44">
        <f>IF(G10="","",IF(T10="No","Running",IF(AND(N(O10)&gt;='KPI Benchmarks'!$D$5,N(Q10)&gt;='KPI Benchmarks'!$D$6,OR(N(L10)&gt;0,N(K10)&gt;0)),"WINNER",IF(AND(N(O10)&gt;='KPI Benchmarks'!$D$5,N(Q10)&gt;='KPI Benchmarks'!$D$6),"Watch","Cut"))))</f>
        <v/>
      </c>
      <c r="V10" s="27">
        <f>IF(U10="WINNER",IF(N(L10)&gt;0,"Prospecting (ASC / interests)","Retargeting candidate"),IF(U10="Watch","Retest or retargeting","" ))</f>
        <v/>
      </c>
      <c r="W10" s="13" t="n"/>
    </row>
    <row r="11">
      <c r="A11" s="13" t="n"/>
      <c r="B11" s="13" t="n"/>
      <c r="C11" s="13" t="n"/>
      <c r="D11" s="13" t="n"/>
      <c r="E11" s="13" t="n"/>
      <c r="F11" s="13" t="n"/>
      <c r="G11" s="40" t="n"/>
      <c r="H11" s="35" t="n"/>
      <c r="I11" s="40" t="n"/>
      <c r="J11" s="40" t="n"/>
      <c r="K11" s="40" t="n"/>
      <c r="L11" s="40" t="n"/>
      <c r="M11" s="34" t="n"/>
      <c r="N11" s="36">
        <f>IFERROR(H11/G11*1000,"")</f>
        <v/>
      </c>
      <c r="O11" s="41">
        <f>IFERROR(I11/G11,"")</f>
        <v/>
      </c>
      <c r="P11" s="41">
        <f>IFERROR(J11/G11,"")</f>
        <v/>
      </c>
      <c r="Q11" s="42">
        <f>IFERROR(P11/O11,"")</f>
        <v/>
      </c>
      <c r="R11" s="43">
        <f>IFERROR(K11/J11,"")</f>
        <v/>
      </c>
      <c r="S11" s="37">
        <f>IFERROR(M11/H11,"")</f>
        <v/>
      </c>
      <c r="T11" s="27">
        <f>IF(G11="","",IF(G11&gt;='KPI Benchmarks'!$D$14,"Yes","No"))</f>
        <v/>
      </c>
      <c r="U11" s="44">
        <f>IF(G11="","",IF(T11="No","Running",IF(AND(N(O11)&gt;='KPI Benchmarks'!$D$5,N(Q11)&gt;='KPI Benchmarks'!$D$6,OR(N(L11)&gt;0,N(K11)&gt;0)),"WINNER",IF(AND(N(O11)&gt;='KPI Benchmarks'!$D$5,N(Q11)&gt;='KPI Benchmarks'!$D$6),"Watch","Cut"))))</f>
        <v/>
      </c>
      <c r="V11" s="27">
        <f>IF(U11="WINNER",IF(N(L11)&gt;0,"Prospecting (ASC / interests)","Retargeting candidate"),IF(U11="Watch","Retest or retargeting","" ))</f>
        <v/>
      </c>
      <c r="W11" s="13" t="n"/>
    </row>
    <row r="12">
      <c r="A12" s="13" t="n"/>
      <c r="B12" s="13" t="n"/>
      <c r="C12" s="13" t="n"/>
      <c r="D12" s="13" t="n"/>
      <c r="E12" s="13" t="n"/>
      <c r="F12" s="13" t="n"/>
      <c r="G12" s="40" t="n"/>
      <c r="H12" s="35" t="n"/>
      <c r="I12" s="40" t="n"/>
      <c r="J12" s="40" t="n"/>
      <c r="K12" s="40" t="n"/>
      <c r="L12" s="40" t="n"/>
      <c r="M12" s="34" t="n"/>
      <c r="N12" s="36">
        <f>IFERROR(H12/G12*1000,"")</f>
        <v/>
      </c>
      <c r="O12" s="41">
        <f>IFERROR(I12/G12,"")</f>
        <v/>
      </c>
      <c r="P12" s="41">
        <f>IFERROR(J12/G12,"")</f>
        <v/>
      </c>
      <c r="Q12" s="42">
        <f>IFERROR(P12/O12,"")</f>
        <v/>
      </c>
      <c r="R12" s="43">
        <f>IFERROR(K12/J12,"")</f>
        <v/>
      </c>
      <c r="S12" s="37">
        <f>IFERROR(M12/H12,"")</f>
        <v/>
      </c>
      <c r="T12" s="27">
        <f>IF(G12="","",IF(G12&gt;='KPI Benchmarks'!$D$14,"Yes","No"))</f>
        <v/>
      </c>
      <c r="U12" s="44">
        <f>IF(G12="","",IF(T12="No","Running",IF(AND(N(O12)&gt;='KPI Benchmarks'!$D$5,N(Q12)&gt;='KPI Benchmarks'!$D$6,OR(N(L12)&gt;0,N(K12)&gt;0)),"WINNER",IF(AND(N(O12)&gt;='KPI Benchmarks'!$D$5,N(Q12)&gt;='KPI Benchmarks'!$D$6),"Watch","Cut"))))</f>
        <v/>
      </c>
      <c r="V12" s="27">
        <f>IF(U12="WINNER",IF(N(L12)&gt;0,"Prospecting (ASC / interests)","Retargeting candidate"),IF(U12="Watch","Retest or retargeting","" ))</f>
        <v/>
      </c>
      <c r="W12" s="13" t="n"/>
    </row>
    <row r="13">
      <c r="A13" s="13" t="n"/>
      <c r="B13" s="13" t="n"/>
      <c r="C13" s="13" t="n"/>
      <c r="D13" s="13" t="n"/>
      <c r="E13" s="13" t="n"/>
      <c r="F13" s="13" t="n"/>
      <c r="G13" s="40" t="n"/>
      <c r="H13" s="35" t="n"/>
      <c r="I13" s="40" t="n"/>
      <c r="J13" s="40" t="n"/>
      <c r="K13" s="40" t="n"/>
      <c r="L13" s="40" t="n"/>
      <c r="M13" s="34" t="n"/>
      <c r="N13" s="36">
        <f>IFERROR(H13/G13*1000,"")</f>
        <v/>
      </c>
      <c r="O13" s="41">
        <f>IFERROR(I13/G13,"")</f>
        <v/>
      </c>
      <c r="P13" s="41">
        <f>IFERROR(J13/G13,"")</f>
        <v/>
      </c>
      <c r="Q13" s="42">
        <f>IFERROR(P13/O13,"")</f>
        <v/>
      </c>
      <c r="R13" s="43">
        <f>IFERROR(K13/J13,"")</f>
        <v/>
      </c>
      <c r="S13" s="37">
        <f>IFERROR(M13/H13,"")</f>
        <v/>
      </c>
      <c r="T13" s="27">
        <f>IF(G13="","",IF(G13&gt;='KPI Benchmarks'!$D$14,"Yes","No"))</f>
        <v/>
      </c>
      <c r="U13" s="44">
        <f>IF(G13="","",IF(T13="No","Running",IF(AND(N(O13)&gt;='KPI Benchmarks'!$D$5,N(Q13)&gt;='KPI Benchmarks'!$D$6,OR(N(L13)&gt;0,N(K13)&gt;0)),"WINNER",IF(AND(N(O13)&gt;='KPI Benchmarks'!$D$5,N(Q13)&gt;='KPI Benchmarks'!$D$6),"Watch","Cut"))))</f>
        <v/>
      </c>
      <c r="V13" s="27">
        <f>IF(U13="WINNER",IF(N(L13)&gt;0,"Prospecting (ASC / interests)","Retargeting candidate"),IF(U13="Watch","Retest or retargeting","" ))</f>
        <v/>
      </c>
      <c r="W13" s="13" t="n"/>
    </row>
    <row r="14">
      <c r="A14" s="13" t="n"/>
      <c r="B14" s="13" t="n"/>
      <c r="C14" s="13" t="n"/>
      <c r="D14" s="13" t="n"/>
      <c r="E14" s="13" t="n"/>
      <c r="F14" s="13" t="n"/>
      <c r="G14" s="40" t="n"/>
      <c r="H14" s="35" t="n"/>
      <c r="I14" s="40" t="n"/>
      <c r="J14" s="40" t="n"/>
      <c r="K14" s="40" t="n"/>
      <c r="L14" s="40" t="n"/>
      <c r="M14" s="34" t="n"/>
      <c r="N14" s="36">
        <f>IFERROR(H14/G14*1000,"")</f>
        <v/>
      </c>
      <c r="O14" s="41">
        <f>IFERROR(I14/G14,"")</f>
        <v/>
      </c>
      <c r="P14" s="41">
        <f>IFERROR(J14/G14,"")</f>
        <v/>
      </c>
      <c r="Q14" s="42">
        <f>IFERROR(P14/O14,"")</f>
        <v/>
      </c>
      <c r="R14" s="43">
        <f>IFERROR(K14/J14,"")</f>
        <v/>
      </c>
      <c r="S14" s="37">
        <f>IFERROR(M14/H14,"")</f>
        <v/>
      </c>
      <c r="T14" s="27">
        <f>IF(G14="","",IF(G14&gt;='KPI Benchmarks'!$D$14,"Yes","No"))</f>
        <v/>
      </c>
      <c r="U14" s="44">
        <f>IF(G14="","",IF(T14="No","Running",IF(AND(N(O14)&gt;='KPI Benchmarks'!$D$5,N(Q14)&gt;='KPI Benchmarks'!$D$6,OR(N(L14)&gt;0,N(K14)&gt;0)),"WINNER",IF(AND(N(O14)&gt;='KPI Benchmarks'!$D$5,N(Q14)&gt;='KPI Benchmarks'!$D$6),"Watch","Cut"))))</f>
        <v/>
      </c>
      <c r="V14" s="27">
        <f>IF(U14="WINNER",IF(N(L14)&gt;0,"Prospecting (ASC / interests)","Retargeting candidate"),IF(U14="Watch","Retest or retargeting","" ))</f>
        <v/>
      </c>
      <c r="W14" s="13" t="n"/>
    </row>
    <row r="15">
      <c r="A15" s="13" t="n"/>
      <c r="B15" s="13" t="n"/>
      <c r="C15" s="13" t="n"/>
      <c r="D15" s="13" t="n"/>
      <c r="E15" s="13" t="n"/>
      <c r="F15" s="13" t="n"/>
      <c r="G15" s="40" t="n"/>
      <c r="H15" s="35" t="n"/>
      <c r="I15" s="40" t="n"/>
      <c r="J15" s="40" t="n"/>
      <c r="K15" s="40" t="n"/>
      <c r="L15" s="40" t="n"/>
      <c r="M15" s="34" t="n"/>
      <c r="N15" s="36">
        <f>IFERROR(H15/G15*1000,"")</f>
        <v/>
      </c>
      <c r="O15" s="41">
        <f>IFERROR(I15/G15,"")</f>
        <v/>
      </c>
      <c r="P15" s="41">
        <f>IFERROR(J15/G15,"")</f>
        <v/>
      </c>
      <c r="Q15" s="42">
        <f>IFERROR(P15/O15,"")</f>
        <v/>
      </c>
      <c r="R15" s="43">
        <f>IFERROR(K15/J15,"")</f>
        <v/>
      </c>
      <c r="S15" s="37">
        <f>IFERROR(M15/H15,"")</f>
        <v/>
      </c>
      <c r="T15" s="27">
        <f>IF(G15="","",IF(G15&gt;='KPI Benchmarks'!$D$14,"Yes","No"))</f>
        <v/>
      </c>
      <c r="U15" s="44">
        <f>IF(G15="","",IF(T15="No","Running",IF(AND(N(O15)&gt;='KPI Benchmarks'!$D$5,N(Q15)&gt;='KPI Benchmarks'!$D$6,OR(N(L15)&gt;0,N(K15)&gt;0)),"WINNER",IF(AND(N(O15)&gt;='KPI Benchmarks'!$D$5,N(Q15)&gt;='KPI Benchmarks'!$D$6),"Watch","Cut"))))</f>
        <v/>
      </c>
      <c r="V15" s="27">
        <f>IF(U15="WINNER",IF(N(L15)&gt;0,"Prospecting (ASC / interests)","Retargeting candidate"),IF(U15="Watch","Retest or retargeting","" ))</f>
        <v/>
      </c>
      <c r="W15" s="13" t="n"/>
    </row>
    <row r="16">
      <c r="A16" s="13" t="n"/>
      <c r="B16" s="13" t="n"/>
      <c r="C16" s="13" t="n"/>
      <c r="D16" s="13" t="n"/>
      <c r="E16" s="13" t="n"/>
      <c r="F16" s="13" t="n"/>
      <c r="G16" s="40" t="n"/>
      <c r="H16" s="35" t="n"/>
      <c r="I16" s="40" t="n"/>
      <c r="J16" s="40" t="n"/>
      <c r="K16" s="40" t="n"/>
      <c r="L16" s="40" t="n"/>
      <c r="M16" s="34" t="n"/>
      <c r="N16" s="36">
        <f>IFERROR(H16/G16*1000,"")</f>
        <v/>
      </c>
      <c r="O16" s="41">
        <f>IFERROR(I16/G16,"")</f>
        <v/>
      </c>
      <c r="P16" s="41">
        <f>IFERROR(J16/G16,"")</f>
        <v/>
      </c>
      <c r="Q16" s="42">
        <f>IFERROR(P16/O16,"")</f>
        <v/>
      </c>
      <c r="R16" s="43">
        <f>IFERROR(K16/J16,"")</f>
        <v/>
      </c>
      <c r="S16" s="37">
        <f>IFERROR(M16/H16,"")</f>
        <v/>
      </c>
      <c r="T16" s="27">
        <f>IF(G16="","",IF(G16&gt;='KPI Benchmarks'!$D$14,"Yes","No"))</f>
        <v/>
      </c>
      <c r="U16" s="44">
        <f>IF(G16="","",IF(T16="No","Running",IF(AND(N(O16)&gt;='KPI Benchmarks'!$D$5,N(Q16)&gt;='KPI Benchmarks'!$D$6,OR(N(L16)&gt;0,N(K16)&gt;0)),"WINNER",IF(AND(N(O16)&gt;='KPI Benchmarks'!$D$5,N(Q16)&gt;='KPI Benchmarks'!$D$6),"Watch","Cut"))))</f>
        <v/>
      </c>
      <c r="V16" s="27">
        <f>IF(U16="WINNER",IF(N(L16)&gt;0,"Prospecting (ASC / interests)","Retargeting candidate"),IF(U16="Watch","Retest or retargeting","" ))</f>
        <v/>
      </c>
      <c r="W16" s="13" t="n"/>
    </row>
    <row r="17">
      <c r="A17" s="13" t="n"/>
      <c r="B17" s="13" t="n"/>
      <c r="C17" s="13" t="n"/>
      <c r="D17" s="13" t="n"/>
      <c r="E17" s="13" t="n"/>
      <c r="F17" s="13" t="n"/>
      <c r="G17" s="40" t="n"/>
      <c r="H17" s="35" t="n"/>
      <c r="I17" s="40" t="n"/>
      <c r="J17" s="40" t="n"/>
      <c r="K17" s="40" t="n"/>
      <c r="L17" s="40" t="n"/>
      <c r="M17" s="34" t="n"/>
      <c r="N17" s="36">
        <f>IFERROR(H17/G17*1000,"")</f>
        <v/>
      </c>
      <c r="O17" s="41">
        <f>IFERROR(I17/G17,"")</f>
        <v/>
      </c>
      <c r="P17" s="41">
        <f>IFERROR(J17/G17,"")</f>
        <v/>
      </c>
      <c r="Q17" s="42">
        <f>IFERROR(P17/O17,"")</f>
        <v/>
      </c>
      <c r="R17" s="43">
        <f>IFERROR(K17/J17,"")</f>
        <v/>
      </c>
      <c r="S17" s="37">
        <f>IFERROR(M17/H17,"")</f>
        <v/>
      </c>
      <c r="T17" s="27">
        <f>IF(G17="","",IF(G17&gt;='KPI Benchmarks'!$D$14,"Yes","No"))</f>
        <v/>
      </c>
      <c r="U17" s="44">
        <f>IF(G17="","",IF(T17="No","Running",IF(AND(N(O17)&gt;='KPI Benchmarks'!$D$5,N(Q17)&gt;='KPI Benchmarks'!$D$6,OR(N(L17)&gt;0,N(K17)&gt;0)),"WINNER",IF(AND(N(O17)&gt;='KPI Benchmarks'!$D$5,N(Q17)&gt;='KPI Benchmarks'!$D$6),"Watch","Cut"))))</f>
        <v/>
      </c>
      <c r="V17" s="27">
        <f>IF(U17="WINNER",IF(N(L17)&gt;0,"Prospecting (ASC / interests)","Retargeting candidate"),IF(U17="Watch","Retest or retargeting","" ))</f>
        <v/>
      </c>
      <c r="W17" s="13" t="n"/>
    </row>
    <row r="18">
      <c r="A18" s="13" t="n"/>
      <c r="B18" s="13" t="n"/>
      <c r="C18" s="13" t="n"/>
      <c r="D18" s="13" t="n"/>
      <c r="E18" s="13" t="n"/>
      <c r="F18" s="13" t="n"/>
      <c r="G18" s="40" t="n"/>
      <c r="H18" s="35" t="n"/>
      <c r="I18" s="40" t="n"/>
      <c r="J18" s="40" t="n"/>
      <c r="K18" s="40" t="n"/>
      <c r="L18" s="40" t="n"/>
      <c r="M18" s="34" t="n"/>
      <c r="N18" s="36">
        <f>IFERROR(H18/G18*1000,"")</f>
        <v/>
      </c>
      <c r="O18" s="41">
        <f>IFERROR(I18/G18,"")</f>
        <v/>
      </c>
      <c r="P18" s="41">
        <f>IFERROR(J18/G18,"")</f>
        <v/>
      </c>
      <c r="Q18" s="42">
        <f>IFERROR(P18/O18,"")</f>
        <v/>
      </c>
      <c r="R18" s="43">
        <f>IFERROR(K18/J18,"")</f>
        <v/>
      </c>
      <c r="S18" s="37">
        <f>IFERROR(M18/H18,"")</f>
        <v/>
      </c>
      <c r="T18" s="27">
        <f>IF(G18="","",IF(G18&gt;='KPI Benchmarks'!$D$14,"Yes","No"))</f>
        <v/>
      </c>
      <c r="U18" s="44">
        <f>IF(G18="","",IF(T18="No","Running",IF(AND(N(O18)&gt;='KPI Benchmarks'!$D$5,N(Q18)&gt;='KPI Benchmarks'!$D$6,OR(N(L18)&gt;0,N(K18)&gt;0)),"WINNER",IF(AND(N(O18)&gt;='KPI Benchmarks'!$D$5,N(Q18)&gt;='KPI Benchmarks'!$D$6),"Watch","Cut"))))</f>
        <v/>
      </c>
      <c r="V18" s="27">
        <f>IF(U18="WINNER",IF(N(L18)&gt;0,"Prospecting (ASC / interests)","Retargeting candidate"),IF(U18="Watch","Retest or retargeting","" ))</f>
        <v/>
      </c>
      <c r="W18" s="13" t="n"/>
    </row>
    <row r="19">
      <c r="A19" s="13" t="n"/>
      <c r="B19" s="13" t="n"/>
      <c r="C19" s="13" t="n"/>
      <c r="D19" s="13" t="n"/>
      <c r="E19" s="13" t="n"/>
      <c r="F19" s="13" t="n"/>
      <c r="G19" s="40" t="n"/>
      <c r="H19" s="35" t="n"/>
      <c r="I19" s="40" t="n"/>
      <c r="J19" s="40" t="n"/>
      <c r="K19" s="40" t="n"/>
      <c r="L19" s="40" t="n"/>
      <c r="M19" s="34" t="n"/>
      <c r="N19" s="36">
        <f>IFERROR(H19/G19*1000,"")</f>
        <v/>
      </c>
      <c r="O19" s="41">
        <f>IFERROR(I19/G19,"")</f>
        <v/>
      </c>
      <c r="P19" s="41">
        <f>IFERROR(J19/G19,"")</f>
        <v/>
      </c>
      <c r="Q19" s="42">
        <f>IFERROR(P19/O19,"")</f>
        <v/>
      </c>
      <c r="R19" s="43">
        <f>IFERROR(K19/J19,"")</f>
        <v/>
      </c>
      <c r="S19" s="37">
        <f>IFERROR(M19/H19,"")</f>
        <v/>
      </c>
      <c r="T19" s="27">
        <f>IF(G19="","",IF(G19&gt;='KPI Benchmarks'!$D$14,"Yes","No"))</f>
        <v/>
      </c>
      <c r="U19" s="44">
        <f>IF(G19="","",IF(T19="No","Running",IF(AND(N(O19)&gt;='KPI Benchmarks'!$D$5,N(Q19)&gt;='KPI Benchmarks'!$D$6,OR(N(L19)&gt;0,N(K19)&gt;0)),"WINNER",IF(AND(N(O19)&gt;='KPI Benchmarks'!$D$5,N(Q19)&gt;='KPI Benchmarks'!$D$6),"Watch","Cut"))))</f>
        <v/>
      </c>
      <c r="V19" s="27">
        <f>IF(U19="WINNER",IF(N(L19)&gt;0,"Prospecting (ASC / interests)","Retargeting candidate"),IF(U19="Watch","Retest or retargeting","" ))</f>
        <v/>
      </c>
      <c r="W19" s="13" t="n"/>
    </row>
    <row r="20">
      <c r="A20" s="13" t="n"/>
      <c r="B20" s="13" t="n"/>
      <c r="C20" s="13" t="n"/>
      <c r="D20" s="13" t="n"/>
      <c r="E20" s="13" t="n"/>
      <c r="F20" s="13" t="n"/>
      <c r="G20" s="40" t="n"/>
      <c r="H20" s="35" t="n"/>
      <c r="I20" s="40" t="n"/>
      <c r="J20" s="40" t="n"/>
      <c r="K20" s="40" t="n"/>
      <c r="L20" s="40" t="n"/>
      <c r="M20" s="34" t="n"/>
      <c r="N20" s="36">
        <f>IFERROR(H20/G20*1000,"")</f>
        <v/>
      </c>
      <c r="O20" s="41">
        <f>IFERROR(I20/G20,"")</f>
        <v/>
      </c>
      <c r="P20" s="41">
        <f>IFERROR(J20/G20,"")</f>
        <v/>
      </c>
      <c r="Q20" s="42">
        <f>IFERROR(P20/O20,"")</f>
        <v/>
      </c>
      <c r="R20" s="43">
        <f>IFERROR(K20/J20,"")</f>
        <v/>
      </c>
      <c r="S20" s="37">
        <f>IFERROR(M20/H20,"")</f>
        <v/>
      </c>
      <c r="T20" s="27">
        <f>IF(G20="","",IF(G20&gt;='KPI Benchmarks'!$D$14,"Yes","No"))</f>
        <v/>
      </c>
      <c r="U20" s="44">
        <f>IF(G20="","",IF(T20="No","Running",IF(AND(N(O20)&gt;='KPI Benchmarks'!$D$5,N(Q20)&gt;='KPI Benchmarks'!$D$6,OR(N(L20)&gt;0,N(K20)&gt;0)),"WINNER",IF(AND(N(O20)&gt;='KPI Benchmarks'!$D$5,N(Q20)&gt;='KPI Benchmarks'!$D$6),"Watch","Cut"))))</f>
        <v/>
      </c>
      <c r="V20" s="27">
        <f>IF(U20="WINNER",IF(N(L20)&gt;0,"Prospecting (ASC / interests)","Retargeting candidate"),IF(U20="Watch","Retest or retargeting","" ))</f>
        <v/>
      </c>
      <c r="W20" s="13" t="n"/>
    </row>
    <row r="21">
      <c r="A21" s="13" t="n"/>
      <c r="B21" s="13" t="n"/>
      <c r="C21" s="13" t="n"/>
      <c r="D21" s="13" t="n"/>
      <c r="E21" s="13" t="n"/>
      <c r="F21" s="13" t="n"/>
      <c r="G21" s="40" t="n"/>
      <c r="H21" s="35" t="n"/>
      <c r="I21" s="40" t="n"/>
      <c r="J21" s="40" t="n"/>
      <c r="K21" s="40" t="n"/>
      <c r="L21" s="40" t="n"/>
      <c r="M21" s="34" t="n"/>
      <c r="N21" s="36">
        <f>IFERROR(H21/G21*1000,"")</f>
        <v/>
      </c>
      <c r="O21" s="41">
        <f>IFERROR(I21/G21,"")</f>
        <v/>
      </c>
      <c r="P21" s="41">
        <f>IFERROR(J21/G21,"")</f>
        <v/>
      </c>
      <c r="Q21" s="42">
        <f>IFERROR(P21/O21,"")</f>
        <v/>
      </c>
      <c r="R21" s="43">
        <f>IFERROR(K21/J21,"")</f>
        <v/>
      </c>
      <c r="S21" s="37">
        <f>IFERROR(M21/H21,"")</f>
        <v/>
      </c>
      <c r="T21" s="27">
        <f>IF(G21="","",IF(G21&gt;='KPI Benchmarks'!$D$14,"Yes","No"))</f>
        <v/>
      </c>
      <c r="U21" s="44">
        <f>IF(G21="","",IF(T21="No","Running",IF(AND(N(O21)&gt;='KPI Benchmarks'!$D$5,N(Q21)&gt;='KPI Benchmarks'!$D$6,OR(N(L21)&gt;0,N(K21)&gt;0)),"WINNER",IF(AND(N(O21)&gt;='KPI Benchmarks'!$D$5,N(Q21)&gt;='KPI Benchmarks'!$D$6),"Watch","Cut"))))</f>
        <v/>
      </c>
      <c r="V21" s="27">
        <f>IF(U21="WINNER",IF(N(L21)&gt;0,"Prospecting (ASC / interests)","Retargeting candidate"),IF(U21="Watch","Retest or retargeting","" ))</f>
        <v/>
      </c>
      <c r="W21" s="13" t="n"/>
    </row>
    <row r="22">
      <c r="A22" s="13" t="n"/>
      <c r="B22" s="13" t="n"/>
      <c r="C22" s="13" t="n"/>
      <c r="D22" s="13" t="n"/>
      <c r="E22" s="13" t="n"/>
      <c r="F22" s="13" t="n"/>
      <c r="G22" s="40" t="n"/>
      <c r="H22" s="35" t="n"/>
      <c r="I22" s="40" t="n"/>
      <c r="J22" s="40" t="n"/>
      <c r="K22" s="40" t="n"/>
      <c r="L22" s="40" t="n"/>
      <c r="M22" s="34" t="n"/>
      <c r="N22" s="36">
        <f>IFERROR(H22/G22*1000,"")</f>
        <v/>
      </c>
      <c r="O22" s="41">
        <f>IFERROR(I22/G22,"")</f>
        <v/>
      </c>
      <c r="P22" s="41">
        <f>IFERROR(J22/G22,"")</f>
        <v/>
      </c>
      <c r="Q22" s="42">
        <f>IFERROR(P22/O22,"")</f>
        <v/>
      </c>
      <c r="R22" s="43">
        <f>IFERROR(K22/J22,"")</f>
        <v/>
      </c>
      <c r="S22" s="37">
        <f>IFERROR(M22/H22,"")</f>
        <v/>
      </c>
      <c r="T22" s="27">
        <f>IF(G22="","",IF(G22&gt;='KPI Benchmarks'!$D$14,"Yes","No"))</f>
        <v/>
      </c>
      <c r="U22" s="44">
        <f>IF(G22="","",IF(T22="No","Running",IF(AND(N(O22)&gt;='KPI Benchmarks'!$D$5,N(Q22)&gt;='KPI Benchmarks'!$D$6,OR(N(L22)&gt;0,N(K22)&gt;0)),"WINNER",IF(AND(N(O22)&gt;='KPI Benchmarks'!$D$5,N(Q22)&gt;='KPI Benchmarks'!$D$6),"Watch","Cut"))))</f>
        <v/>
      </c>
      <c r="V22" s="27">
        <f>IF(U22="WINNER",IF(N(L22)&gt;0,"Prospecting (ASC / interests)","Retargeting candidate"),IF(U22="Watch","Retest or retargeting","" ))</f>
        <v/>
      </c>
      <c r="W22" s="13" t="n"/>
    </row>
    <row r="23">
      <c r="A23" s="13" t="n"/>
      <c r="B23" s="13" t="n"/>
      <c r="C23" s="13" t="n"/>
      <c r="D23" s="13" t="n"/>
      <c r="E23" s="13" t="n"/>
      <c r="F23" s="13" t="n"/>
      <c r="G23" s="40" t="n"/>
      <c r="H23" s="35" t="n"/>
      <c r="I23" s="40" t="n"/>
      <c r="J23" s="40" t="n"/>
      <c r="K23" s="40" t="n"/>
      <c r="L23" s="40" t="n"/>
      <c r="M23" s="34" t="n"/>
      <c r="N23" s="36">
        <f>IFERROR(H23/G23*1000,"")</f>
        <v/>
      </c>
      <c r="O23" s="41">
        <f>IFERROR(I23/G23,"")</f>
        <v/>
      </c>
      <c r="P23" s="41">
        <f>IFERROR(J23/G23,"")</f>
        <v/>
      </c>
      <c r="Q23" s="42">
        <f>IFERROR(P23/O23,"")</f>
        <v/>
      </c>
      <c r="R23" s="43">
        <f>IFERROR(K23/J23,"")</f>
        <v/>
      </c>
      <c r="S23" s="37">
        <f>IFERROR(M23/H23,"")</f>
        <v/>
      </c>
      <c r="T23" s="27">
        <f>IF(G23="","",IF(G23&gt;='KPI Benchmarks'!$D$14,"Yes","No"))</f>
        <v/>
      </c>
      <c r="U23" s="44">
        <f>IF(G23="","",IF(T23="No","Running",IF(AND(N(O23)&gt;='KPI Benchmarks'!$D$5,N(Q23)&gt;='KPI Benchmarks'!$D$6,OR(N(L23)&gt;0,N(K23)&gt;0)),"WINNER",IF(AND(N(O23)&gt;='KPI Benchmarks'!$D$5,N(Q23)&gt;='KPI Benchmarks'!$D$6),"Watch","Cut"))))</f>
        <v/>
      </c>
      <c r="V23" s="27">
        <f>IF(U23="WINNER",IF(N(L23)&gt;0,"Prospecting (ASC / interests)","Retargeting candidate"),IF(U23="Watch","Retest or retargeting","" ))</f>
        <v/>
      </c>
      <c r="W23" s="13" t="n"/>
    </row>
    <row r="24">
      <c r="A24" s="13" t="n"/>
      <c r="B24" s="13" t="n"/>
      <c r="C24" s="13" t="n"/>
      <c r="D24" s="13" t="n"/>
      <c r="E24" s="13" t="n"/>
      <c r="F24" s="13" t="n"/>
      <c r="G24" s="40" t="n"/>
      <c r="H24" s="35" t="n"/>
      <c r="I24" s="40" t="n"/>
      <c r="J24" s="40" t="n"/>
      <c r="K24" s="40" t="n"/>
      <c r="L24" s="40" t="n"/>
      <c r="M24" s="34" t="n"/>
      <c r="N24" s="36">
        <f>IFERROR(H24/G24*1000,"")</f>
        <v/>
      </c>
      <c r="O24" s="41">
        <f>IFERROR(I24/G24,"")</f>
        <v/>
      </c>
      <c r="P24" s="41">
        <f>IFERROR(J24/G24,"")</f>
        <v/>
      </c>
      <c r="Q24" s="42">
        <f>IFERROR(P24/O24,"")</f>
        <v/>
      </c>
      <c r="R24" s="43">
        <f>IFERROR(K24/J24,"")</f>
        <v/>
      </c>
      <c r="S24" s="37">
        <f>IFERROR(M24/H24,"")</f>
        <v/>
      </c>
      <c r="T24" s="27">
        <f>IF(G24="","",IF(G24&gt;='KPI Benchmarks'!$D$14,"Yes","No"))</f>
        <v/>
      </c>
      <c r="U24" s="44">
        <f>IF(G24="","",IF(T24="No","Running",IF(AND(N(O24)&gt;='KPI Benchmarks'!$D$5,N(Q24)&gt;='KPI Benchmarks'!$D$6,OR(N(L24)&gt;0,N(K24)&gt;0)),"WINNER",IF(AND(N(O24)&gt;='KPI Benchmarks'!$D$5,N(Q24)&gt;='KPI Benchmarks'!$D$6),"Watch","Cut"))))</f>
        <v/>
      </c>
      <c r="V24" s="27">
        <f>IF(U24="WINNER",IF(N(L24)&gt;0,"Prospecting (ASC / interests)","Retargeting candidate"),IF(U24="Watch","Retest or retargeting","" ))</f>
        <v/>
      </c>
      <c r="W24" s="13" t="n"/>
    </row>
    <row r="25">
      <c r="A25" s="13" t="n"/>
      <c r="B25" s="13" t="n"/>
      <c r="C25" s="13" t="n"/>
      <c r="D25" s="13" t="n"/>
      <c r="E25" s="13" t="n"/>
      <c r="F25" s="13" t="n"/>
      <c r="G25" s="40" t="n"/>
      <c r="H25" s="35" t="n"/>
      <c r="I25" s="40" t="n"/>
      <c r="J25" s="40" t="n"/>
      <c r="K25" s="40" t="n"/>
      <c r="L25" s="40" t="n"/>
      <c r="M25" s="34" t="n"/>
      <c r="N25" s="36">
        <f>IFERROR(H25/G25*1000,"")</f>
        <v/>
      </c>
      <c r="O25" s="41">
        <f>IFERROR(I25/G25,"")</f>
        <v/>
      </c>
      <c r="P25" s="41">
        <f>IFERROR(J25/G25,"")</f>
        <v/>
      </c>
      <c r="Q25" s="42">
        <f>IFERROR(P25/O25,"")</f>
        <v/>
      </c>
      <c r="R25" s="43">
        <f>IFERROR(K25/J25,"")</f>
        <v/>
      </c>
      <c r="S25" s="37">
        <f>IFERROR(M25/H25,"")</f>
        <v/>
      </c>
      <c r="T25" s="27">
        <f>IF(G25="","",IF(G25&gt;='KPI Benchmarks'!$D$14,"Yes","No"))</f>
        <v/>
      </c>
      <c r="U25" s="44">
        <f>IF(G25="","",IF(T25="No","Running",IF(AND(N(O25)&gt;='KPI Benchmarks'!$D$5,N(Q25)&gt;='KPI Benchmarks'!$D$6,OR(N(L25)&gt;0,N(K25)&gt;0)),"WINNER",IF(AND(N(O25)&gt;='KPI Benchmarks'!$D$5,N(Q25)&gt;='KPI Benchmarks'!$D$6),"Watch","Cut"))))</f>
        <v/>
      </c>
      <c r="V25" s="27">
        <f>IF(U25="WINNER",IF(N(L25)&gt;0,"Prospecting (ASC / interests)","Retargeting candidate"),IF(U25="Watch","Retest or retargeting","" ))</f>
        <v/>
      </c>
      <c r="W25" s="13" t="n"/>
    </row>
    <row r="26">
      <c r="A26" s="13" t="n"/>
      <c r="B26" s="13" t="n"/>
      <c r="C26" s="13" t="n"/>
      <c r="D26" s="13" t="n"/>
      <c r="E26" s="13" t="n"/>
      <c r="F26" s="13" t="n"/>
      <c r="G26" s="40" t="n"/>
      <c r="H26" s="35" t="n"/>
      <c r="I26" s="40" t="n"/>
      <c r="J26" s="40" t="n"/>
      <c r="K26" s="40" t="n"/>
      <c r="L26" s="40" t="n"/>
      <c r="M26" s="34" t="n"/>
      <c r="N26" s="36">
        <f>IFERROR(H26/G26*1000,"")</f>
        <v/>
      </c>
      <c r="O26" s="41">
        <f>IFERROR(I26/G26,"")</f>
        <v/>
      </c>
      <c r="P26" s="41">
        <f>IFERROR(J26/G26,"")</f>
        <v/>
      </c>
      <c r="Q26" s="42">
        <f>IFERROR(P26/O26,"")</f>
        <v/>
      </c>
      <c r="R26" s="43">
        <f>IFERROR(K26/J26,"")</f>
        <v/>
      </c>
      <c r="S26" s="37">
        <f>IFERROR(M26/H26,"")</f>
        <v/>
      </c>
      <c r="T26" s="27">
        <f>IF(G26="","",IF(G26&gt;='KPI Benchmarks'!$D$14,"Yes","No"))</f>
        <v/>
      </c>
      <c r="U26" s="44">
        <f>IF(G26="","",IF(T26="No","Running",IF(AND(N(O26)&gt;='KPI Benchmarks'!$D$5,N(Q26)&gt;='KPI Benchmarks'!$D$6,OR(N(L26)&gt;0,N(K26)&gt;0)),"WINNER",IF(AND(N(O26)&gt;='KPI Benchmarks'!$D$5,N(Q26)&gt;='KPI Benchmarks'!$D$6),"Watch","Cut"))))</f>
        <v/>
      </c>
      <c r="V26" s="27">
        <f>IF(U26="WINNER",IF(N(L26)&gt;0,"Prospecting (ASC / interests)","Retargeting candidate"),IF(U26="Watch","Retest or retargeting","" ))</f>
        <v/>
      </c>
      <c r="W26" s="13" t="n"/>
    </row>
    <row r="27">
      <c r="A27" s="13" t="n"/>
      <c r="B27" s="13" t="n"/>
      <c r="C27" s="13" t="n"/>
      <c r="D27" s="13" t="n"/>
      <c r="E27" s="13" t="n"/>
      <c r="F27" s="13" t="n"/>
      <c r="G27" s="40" t="n"/>
      <c r="H27" s="35" t="n"/>
      <c r="I27" s="40" t="n"/>
      <c r="J27" s="40" t="n"/>
      <c r="K27" s="40" t="n"/>
      <c r="L27" s="40" t="n"/>
      <c r="M27" s="34" t="n"/>
      <c r="N27" s="36">
        <f>IFERROR(H27/G27*1000,"")</f>
        <v/>
      </c>
      <c r="O27" s="41">
        <f>IFERROR(I27/G27,"")</f>
        <v/>
      </c>
      <c r="P27" s="41">
        <f>IFERROR(J27/G27,"")</f>
        <v/>
      </c>
      <c r="Q27" s="42">
        <f>IFERROR(P27/O27,"")</f>
        <v/>
      </c>
      <c r="R27" s="43">
        <f>IFERROR(K27/J27,"")</f>
        <v/>
      </c>
      <c r="S27" s="37">
        <f>IFERROR(M27/H27,"")</f>
        <v/>
      </c>
      <c r="T27" s="27">
        <f>IF(G27="","",IF(G27&gt;='KPI Benchmarks'!$D$14,"Yes","No"))</f>
        <v/>
      </c>
      <c r="U27" s="44">
        <f>IF(G27="","",IF(T27="No","Running",IF(AND(N(O27)&gt;='KPI Benchmarks'!$D$5,N(Q27)&gt;='KPI Benchmarks'!$D$6,OR(N(L27)&gt;0,N(K27)&gt;0)),"WINNER",IF(AND(N(O27)&gt;='KPI Benchmarks'!$D$5,N(Q27)&gt;='KPI Benchmarks'!$D$6),"Watch","Cut"))))</f>
        <v/>
      </c>
      <c r="V27" s="27">
        <f>IF(U27="WINNER",IF(N(L27)&gt;0,"Prospecting (ASC / interests)","Retargeting candidate"),IF(U27="Watch","Retest or retargeting","" ))</f>
        <v/>
      </c>
      <c r="W27" s="13" t="n"/>
    </row>
    <row r="28">
      <c r="A28" s="13" t="n"/>
      <c r="B28" s="13" t="n"/>
      <c r="C28" s="13" t="n"/>
      <c r="D28" s="13" t="n"/>
      <c r="E28" s="13" t="n"/>
      <c r="F28" s="13" t="n"/>
      <c r="G28" s="40" t="n"/>
      <c r="H28" s="35" t="n"/>
      <c r="I28" s="40" t="n"/>
      <c r="J28" s="40" t="n"/>
      <c r="K28" s="40" t="n"/>
      <c r="L28" s="40" t="n"/>
      <c r="M28" s="34" t="n"/>
      <c r="N28" s="36">
        <f>IFERROR(H28/G28*1000,"")</f>
        <v/>
      </c>
      <c r="O28" s="41">
        <f>IFERROR(I28/G28,"")</f>
        <v/>
      </c>
      <c r="P28" s="41">
        <f>IFERROR(J28/G28,"")</f>
        <v/>
      </c>
      <c r="Q28" s="42">
        <f>IFERROR(P28/O28,"")</f>
        <v/>
      </c>
      <c r="R28" s="43">
        <f>IFERROR(K28/J28,"")</f>
        <v/>
      </c>
      <c r="S28" s="37">
        <f>IFERROR(M28/H28,"")</f>
        <v/>
      </c>
      <c r="T28" s="27">
        <f>IF(G28="","",IF(G28&gt;='KPI Benchmarks'!$D$14,"Yes","No"))</f>
        <v/>
      </c>
      <c r="U28" s="44">
        <f>IF(G28="","",IF(T28="No","Running",IF(AND(N(O28)&gt;='KPI Benchmarks'!$D$5,N(Q28)&gt;='KPI Benchmarks'!$D$6,OR(N(L28)&gt;0,N(K28)&gt;0)),"WINNER",IF(AND(N(O28)&gt;='KPI Benchmarks'!$D$5,N(Q28)&gt;='KPI Benchmarks'!$D$6),"Watch","Cut"))))</f>
        <v/>
      </c>
      <c r="V28" s="27">
        <f>IF(U28="WINNER",IF(N(L28)&gt;0,"Prospecting (ASC / interests)","Retargeting candidate"),IF(U28="Watch","Retest or retargeting","" ))</f>
        <v/>
      </c>
      <c r="W28" s="13" t="n"/>
    </row>
    <row r="29">
      <c r="A29" s="13" t="n"/>
      <c r="B29" s="13" t="n"/>
      <c r="C29" s="13" t="n"/>
      <c r="D29" s="13" t="n"/>
      <c r="E29" s="13" t="n"/>
      <c r="F29" s="13" t="n"/>
      <c r="G29" s="40" t="n"/>
      <c r="H29" s="35" t="n"/>
      <c r="I29" s="40" t="n"/>
      <c r="J29" s="40" t="n"/>
      <c r="K29" s="40" t="n"/>
      <c r="L29" s="40" t="n"/>
      <c r="M29" s="34" t="n"/>
      <c r="N29" s="36">
        <f>IFERROR(H29/G29*1000,"")</f>
        <v/>
      </c>
      <c r="O29" s="41">
        <f>IFERROR(I29/G29,"")</f>
        <v/>
      </c>
      <c r="P29" s="41">
        <f>IFERROR(J29/G29,"")</f>
        <v/>
      </c>
      <c r="Q29" s="42">
        <f>IFERROR(P29/O29,"")</f>
        <v/>
      </c>
      <c r="R29" s="43">
        <f>IFERROR(K29/J29,"")</f>
        <v/>
      </c>
      <c r="S29" s="37">
        <f>IFERROR(M29/H29,"")</f>
        <v/>
      </c>
      <c r="T29" s="27">
        <f>IF(G29="","",IF(G29&gt;='KPI Benchmarks'!$D$14,"Yes","No"))</f>
        <v/>
      </c>
      <c r="U29" s="44">
        <f>IF(G29="","",IF(T29="No","Running",IF(AND(N(O29)&gt;='KPI Benchmarks'!$D$5,N(Q29)&gt;='KPI Benchmarks'!$D$6,OR(N(L29)&gt;0,N(K29)&gt;0)),"WINNER",IF(AND(N(O29)&gt;='KPI Benchmarks'!$D$5,N(Q29)&gt;='KPI Benchmarks'!$D$6),"Watch","Cut"))))</f>
        <v/>
      </c>
      <c r="V29" s="27">
        <f>IF(U29="WINNER",IF(N(L29)&gt;0,"Prospecting (ASC / interests)","Retargeting candidate"),IF(U29="Watch","Retest or retargeting","" ))</f>
        <v/>
      </c>
      <c r="W29" s="13" t="n"/>
    </row>
    <row r="30">
      <c r="A30" s="13" t="n"/>
      <c r="B30" s="13" t="n"/>
      <c r="C30" s="13" t="n"/>
      <c r="D30" s="13" t="n"/>
      <c r="E30" s="13" t="n"/>
      <c r="F30" s="13" t="n"/>
      <c r="G30" s="40" t="n"/>
      <c r="H30" s="35" t="n"/>
      <c r="I30" s="40" t="n"/>
      <c r="J30" s="40" t="n"/>
      <c r="K30" s="40" t="n"/>
      <c r="L30" s="40" t="n"/>
      <c r="M30" s="34" t="n"/>
      <c r="N30" s="36">
        <f>IFERROR(H30/G30*1000,"")</f>
        <v/>
      </c>
      <c r="O30" s="41">
        <f>IFERROR(I30/G30,"")</f>
        <v/>
      </c>
      <c r="P30" s="41">
        <f>IFERROR(J30/G30,"")</f>
        <v/>
      </c>
      <c r="Q30" s="42">
        <f>IFERROR(P30/O30,"")</f>
        <v/>
      </c>
      <c r="R30" s="43">
        <f>IFERROR(K30/J30,"")</f>
        <v/>
      </c>
      <c r="S30" s="37">
        <f>IFERROR(M30/H30,"")</f>
        <v/>
      </c>
      <c r="T30" s="27">
        <f>IF(G30="","",IF(G30&gt;='KPI Benchmarks'!$D$14,"Yes","No"))</f>
        <v/>
      </c>
      <c r="U30" s="44">
        <f>IF(G30="","",IF(T30="No","Running",IF(AND(N(O30)&gt;='KPI Benchmarks'!$D$5,N(Q30)&gt;='KPI Benchmarks'!$D$6,OR(N(L30)&gt;0,N(K30)&gt;0)),"WINNER",IF(AND(N(O30)&gt;='KPI Benchmarks'!$D$5,N(Q30)&gt;='KPI Benchmarks'!$D$6),"Watch","Cut"))))</f>
        <v/>
      </c>
      <c r="V30" s="27">
        <f>IF(U30="WINNER",IF(N(L30)&gt;0,"Prospecting (ASC / interests)","Retargeting candidate"),IF(U30="Watch","Retest or retargeting","" ))</f>
        <v/>
      </c>
      <c r="W30" s="13" t="n"/>
    </row>
    <row r="31">
      <c r="A31" s="13" t="n"/>
      <c r="B31" s="13" t="n"/>
      <c r="C31" s="13" t="n"/>
      <c r="D31" s="13" t="n"/>
      <c r="E31" s="13" t="n"/>
      <c r="F31" s="13" t="n"/>
      <c r="G31" s="40" t="n"/>
      <c r="H31" s="35" t="n"/>
      <c r="I31" s="40" t="n"/>
      <c r="J31" s="40" t="n"/>
      <c r="K31" s="40" t="n"/>
      <c r="L31" s="40" t="n"/>
      <c r="M31" s="34" t="n"/>
      <c r="N31" s="36">
        <f>IFERROR(H31/G31*1000,"")</f>
        <v/>
      </c>
      <c r="O31" s="41">
        <f>IFERROR(I31/G31,"")</f>
        <v/>
      </c>
      <c r="P31" s="41">
        <f>IFERROR(J31/G31,"")</f>
        <v/>
      </c>
      <c r="Q31" s="42">
        <f>IFERROR(P31/O31,"")</f>
        <v/>
      </c>
      <c r="R31" s="43">
        <f>IFERROR(K31/J31,"")</f>
        <v/>
      </c>
      <c r="S31" s="37">
        <f>IFERROR(M31/H31,"")</f>
        <v/>
      </c>
      <c r="T31" s="27">
        <f>IF(G31="","",IF(G31&gt;='KPI Benchmarks'!$D$14,"Yes","No"))</f>
        <v/>
      </c>
      <c r="U31" s="44">
        <f>IF(G31="","",IF(T31="No","Running",IF(AND(N(O31)&gt;='KPI Benchmarks'!$D$5,N(Q31)&gt;='KPI Benchmarks'!$D$6,OR(N(L31)&gt;0,N(K31)&gt;0)),"WINNER",IF(AND(N(O31)&gt;='KPI Benchmarks'!$D$5,N(Q31)&gt;='KPI Benchmarks'!$D$6),"Watch","Cut"))))</f>
        <v/>
      </c>
      <c r="V31" s="27">
        <f>IF(U31="WINNER",IF(N(L31)&gt;0,"Prospecting (ASC / interests)","Retargeting candidate"),IF(U31="Watch","Retest or retargeting","" ))</f>
        <v/>
      </c>
      <c r="W31" s="13" t="n"/>
    </row>
    <row r="32">
      <c r="A32" s="13" t="n"/>
      <c r="B32" s="13" t="n"/>
      <c r="C32" s="13" t="n"/>
      <c r="D32" s="13" t="n"/>
      <c r="E32" s="13" t="n"/>
      <c r="F32" s="13" t="n"/>
      <c r="G32" s="40" t="n"/>
      <c r="H32" s="35" t="n"/>
      <c r="I32" s="40" t="n"/>
      <c r="J32" s="40" t="n"/>
      <c r="K32" s="40" t="n"/>
      <c r="L32" s="40" t="n"/>
      <c r="M32" s="34" t="n"/>
      <c r="N32" s="36">
        <f>IFERROR(H32/G32*1000,"")</f>
        <v/>
      </c>
      <c r="O32" s="41">
        <f>IFERROR(I32/G32,"")</f>
        <v/>
      </c>
      <c r="P32" s="41">
        <f>IFERROR(J32/G32,"")</f>
        <v/>
      </c>
      <c r="Q32" s="42">
        <f>IFERROR(P32/O32,"")</f>
        <v/>
      </c>
      <c r="R32" s="43">
        <f>IFERROR(K32/J32,"")</f>
        <v/>
      </c>
      <c r="S32" s="37">
        <f>IFERROR(M32/H32,"")</f>
        <v/>
      </c>
      <c r="T32" s="27">
        <f>IF(G32="","",IF(G32&gt;='KPI Benchmarks'!$D$14,"Yes","No"))</f>
        <v/>
      </c>
      <c r="U32" s="44">
        <f>IF(G32="","",IF(T32="No","Running",IF(AND(N(O32)&gt;='KPI Benchmarks'!$D$5,N(Q32)&gt;='KPI Benchmarks'!$D$6,OR(N(L32)&gt;0,N(K32)&gt;0)),"WINNER",IF(AND(N(O32)&gt;='KPI Benchmarks'!$D$5,N(Q32)&gt;='KPI Benchmarks'!$D$6),"Watch","Cut"))))</f>
        <v/>
      </c>
      <c r="V32" s="27">
        <f>IF(U32="WINNER",IF(N(L32)&gt;0,"Prospecting (ASC / interests)","Retargeting candidate"),IF(U32="Watch","Retest or retargeting","" ))</f>
        <v/>
      </c>
      <c r="W32" s="13" t="n"/>
    </row>
    <row r="33">
      <c r="A33" s="13" t="n"/>
      <c r="B33" s="13" t="n"/>
      <c r="C33" s="13" t="n"/>
      <c r="D33" s="13" t="n"/>
      <c r="E33" s="13" t="n"/>
      <c r="F33" s="13" t="n"/>
      <c r="G33" s="40" t="n"/>
      <c r="H33" s="35" t="n"/>
      <c r="I33" s="40" t="n"/>
      <c r="J33" s="40" t="n"/>
      <c r="K33" s="40" t="n"/>
      <c r="L33" s="40" t="n"/>
      <c r="M33" s="34" t="n"/>
      <c r="N33" s="36">
        <f>IFERROR(H33/G33*1000,"")</f>
        <v/>
      </c>
      <c r="O33" s="41">
        <f>IFERROR(I33/G33,"")</f>
        <v/>
      </c>
      <c r="P33" s="41">
        <f>IFERROR(J33/G33,"")</f>
        <v/>
      </c>
      <c r="Q33" s="42">
        <f>IFERROR(P33/O33,"")</f>
        <v/>
      </c>
      <c r="R33" s="43">
        <f>IFERROR(K33/J33,"")</f>
        <v/>
      </c>
      <c r="S33" s="37">
        <f>IFERROR(M33/H33,"")</f>
        <v/>
      </c>
      <c r="T33" s="27">
        <f>IF(G33="","",IF(G33&gt;='KPI Benchmarks'!$D$14,"Yes","No"))</f>
        <v/>
      </c>
      <c r="U33" s="44">
        <f>IF(G33="","",IF(T33="No","Running",IF(AND(N(O33)&gt;='KPI Benchmarks'!$D$5,N(Q33)&gt;='KPI Benchmarks'!$D$6,OR(N(L33)&gt;0,N(K33)&gt;0)),"WINNER",IF(AND(N(O33)&gt;='KPI Benchmarks'!$D$5,N(Q33)&gt;='KPI Benchmarks'!$D$6),"Watch","Cut"))))</f>
        <v/>
      </c>
      <c r="V33" s="27">
        <f>IF(U33="WINNER",IF(N(L33)&gt;0,"Prospecting (ASC / interests)","Retargeting candidate"),IF(U33="Watch","Retest or retargeting","" ))</f>
        <v/>
      </c>
      <c r="W33" s="13" t="n"/>
    </row>
    <row r="34">
      <c r="A34" s="13" t="n"/>
      <c r="B34" s="13" t="n"/>
      <c r="C34" s="13" t="n"/>
      <c r="D34" s="13" t="n"/>
      <c r="E34" s="13" t="n"/>
      <c r="F34" s="13" t="n"/>
      <c r="G34" s="40" t="n"/>
      <c r="H34" s="35" t="n"/>
      <c r="I34" s="40" t="n"/>
      <c r="J34" s="40" t="n"/>
      <c r="K34" s="40" t="n"/>
      <c r="L34" s="40" t="n"/>
      <c r="M34" s="34" t="n"/>
      <c r="N34" s="36">
        <f>IFERROR(H34/G34*1000,"")</f>
        <v/>
      </c>
      <c r="O34" s="41">
        <f>IFERROR(I34/G34,"")</f>
        <v/>
      </c>
      <c r="P34" s="41">
        <f>IFERROR(J34/G34,"")</f>
        <v/>
      </c>
      <c r="Q34" s="42">
        <f>IFERROR(P34/O34,"")</f>
        <v/>
      </c>
      <c r="R34" s="43">
        <f>IFERROR(K34/J34,"")</f>
        <v/>
      </c>
      <c r="S34" s="37">
        <f>IFERROR(M34/H34,"")</f>
        <v/>
      </c>
      <c r="T34" s="27">
        <f>IF(G34="","",IF(G34&gt;='KPI Benchmarks'!$D$14,"Yes","No"))</f>
        <v/>
      </c>
      <c r="U34" s="44">
        <f>IF(G34="","",IF(T34="No","Running",IF(AND(N(O34)&gt;='KPI Benchmarks'!$D$5,N(Q34)&gt;='KPI Benchmarks'!$D$6,OR(N(L34)&gt;0,N(K34)&gt;0)),"WINNER",IF(AND(N(O34)&gt;='KPI Benchmarks'!$D$5,N(Q34)&gt;='KPI Benchmarks'!$D$6),"Watch","Cut"))))</f>
        <v/>
      </c>
      <c r="V34" s="27">
        <f>IF(U34="WINNER",IF(N(L34)&gt;0,"Prospecting (ASC / interests)","Retargeting candidate"),IF(U34="Watch","Retest or retargeting","" ))</f>
        <v/>
      </c>
      <c r="W34" s="13" t="n"/>
    </row>
    <row r="35">
      <c r="A35" s="13" t="n"/>
      <c r="B35" s="13" t="n"/>
      <c r="C35" s="13" t="n"/>
      <c r="D35" s="13" t="n"/>
      <c r="E35" s="13" t="n"/>
      <c r="F35" s="13" t="n"/>
      <c r="G35" s="40" t="n"/>
      <c r="H35" s="35" t="n"/>
      <c r="I35" s="40" t="n"/>
      <c r="J35" s="40" t="n"/>
      <c r="K35" s="40" t="n"/>
      <c r="L35" s="40" t="n"/>
      <c r="M35" s="34" t="n"/>
      <c r="N35" s="36">
        <f>IFERROR(H35/G35*1000,"")</f>
        <v/>
      </c>
      <c r="O35" s="41">
        <f>IFERROR(I35/G35,"")</f>
        <v/>
      </c>
      <c r="P35" s="41">
        <f>IFERROR(J35/G35,"")</f>
        <v/>
      </c>
      <c r="Q35" s="42">
        <f>IFERROR(P35/O35,"")</f>
        <v/>
      </c>
      <c r="R35" s="43">
        <f>IFERROR(K35/J35,"")</f>
        <v/>
      </c>
      <c r="S35" s="37">
        <f>IFERROR(M35/H35,"")</f>
        <v/>
      </c>
      <c r="T35" s="27">
        <f>IF(G35="","",IF(G35&gt;='KPI Benchmarks'!$D$14,"Yes","No"))</f>
        <v/>
      </c>
      <c r="U35" s="44">
        <f>IF(G35="","",IF(T35="No","Running",IF(AND(N(O35)&gt;='KPI Benchmarks'!$D$5,N(Q35)&gt;='KPI Benchmarks'!$D$6,OR(N(L35)&gt;0,N(K35)&gt;0)),"WINNER",IF(AND(N(O35)&gt;='KPI Benchmarks'!$D$5,N(Q35)&gt;='KPI Benchmarks'!$D$6),"Watch","Cut"))))</f>
        <v/>
      </c>
      <c r="V35" s="27">
        <f>IF(U35="WINNER",IF(N(L35)&gt;0,"Prospecting (ASC / interests)","Retargeting candidate"),IF(U35="Watch","Retest or retargeting","" ))</f>
        <v/>
      </c>
      <c r="W35" s="13" t="n"/>
    </row>
    <row r="36">
      <c r="A36" s="13" t="n"/>
      <c r="B36" s="13" t="n"/>
      <c r="C36" s="13" t="n"/>
      <c r="D36" s="13" t="n"/>
      <c r="E36" s="13" t="n"/>
      <c r="F36" s="13" t="n"/>
      <c r="G36" s="40" t="n"/>
      <c r="H36" s="35" t="n"/>
      <c r="I36" s="40" t="n"/>
      <c r="J36" s="40" t="n"/>
      <c r="K36" s="40" t="n"/>
      <c r="L36" s="40" t="n"/>
      <c r="M36" s="34" t="n"/>
      <c r="N36" s="36">
        <f>IFERROR(H36/G36*1000,"")</f>
        <v/>
      </c>
      <c r="O36" s="41">
        <f>IFERROR(I36/G36,"")</f>
        <v/>
      </c>
      <c r="P36" s="41">
        <f>IFERROR(J36/G36,"")</f>
        <v/>
      </c>
      <c r="Q36" s="42">
        <f>IFERROR(P36/O36,"")</f>
        <v/>
      </c>
      <c r="R36" s="43">
        <f>IFERROR(K36/J36,"")</f>
        <v/>
      </c>
      <c r="S36" s="37">
        <f>IFERROR(M36/H36,"")</f>
        <v/>
      </c>
      <c r="T36" s="27">
        <f>IF(G36="","",IF(G36&gt;='KPI Benchmarks'!$D$14,"Yes","No"))</f>
        <v/>
      </c>
      <c r="U36" s="44">
        <f>IF(G36="","",IF(T36="No","Running",IF(AND(N(O36)&gt;='KPI Benchmarks'!$D$5,N(Q36)&gt;='KPI Benchmarks'!$D$6,OR(N(L36)&gt;0,N(K36)&gt;0)),"WINNER",IF(AND(N(O36)&gt;='KPI Benchmarks'!$D$5,N(Q36)&gt;='KPI Benchmarks'!$D$6),"Watch","Cut"))))</f>
        <v/>
      </c>
      <c r="V36" s="27">
        <f>IF(U36="WINNER",IF(N(L36)&gt;0,"Prospecting (ASC / interests)","Retargeting candidate"),IF(U36="Watch","Retest or retargeting","" ))</f>
        <v/>
      </c>
      <c r="W36" s="13" t="n"/>
    </row>
    <row r="37">
      <c r="A37" s="13" t="n"/>
      <c r="B37" s="13" t="n"/>
      <c r="C37" s="13" t="n"/>
      <c r="D37" s="13" t="n"/>
      <c r="E37" s="13" t="n"/>
      <c r="F37" s="13" t="n"/>
      <c r="G37" s="40" t="n"/>
      <c r="H37" s="35" t="n"/>
      <c r="I37" s="40" t="n"/>
      <c r="J37" s="40" t="n"/>
      <c r="K37" s="40" t="n"/>
      <c r="L37" s="40" t="n"/>
      <c r="M37" s="34" t="n"/>
      <c r="N37" s="36">
        <f>IFERROR(H37/G37*1000,"")</f>
        <v/>
      </c>
      <c r="O37" s="41">
        <f>IFERROR(I37/G37,"")</f>
        <v/>
      </c>
      <c r="P37" s="41">
        <f>IFERROR(J37/G37,"")</f>
        <v/>
      </c>
      <c r="Q37" s="42">
        <f>IFERROR(P37/O37,"")</f>
        <v/>
      </c>
      <c r="R37" s="43">
        <f>IFERROR(K37/J37,"")</f>
        <v/>
      </c>
      <c r="S37" s="37">
        <f>IFERROR(M37/H37,"")</f>
        <v/>
      </c>
      <c r="T37" s="27">
        <f>IF(G37="","",IF(G37&gt;='KPI Benchmarks'!$D$14,"Yes","No"))</f>
        <v/>
      </c>
      <c r="U37" s="44">
        <f>IF(G37="","",IF(T37="No","Running",IF(AND(N(O37)&gt;='KPI Benchmarks'!$D$5,N(Q37)&gt;='KPI Benchmarks'!$D$6,OR(N(L37)&gt;0,N(K37)&gt;0)),"WINNER",IF(AND(N(O37)&gt;='KPI Benchmarks'!$D$5,N(Q37)&gt;='KPI Benchmarks'!$D$6),"Watch","Cut"))))</f>
        <v/>
      </c>
      <c r="V37" s="27">
        <f>IF(U37="WINNER",IF(N(L37)&gt;0,"Prospecting (ASC / interests)","Retargeting candidate"),IF(U37="Watch","Retest or retargeting","" ))</f>
        <v/>
      </c>
      <c r="W37" s="13" t="n"/>
    </row>
    <row r="38">
      <c r="A38" s="13" t="n"/>
      <c r="B38" s="13" t="n"/>
      <c r="C38" s="13" t="n"/>
      <c r="D38" s="13" t="n"/>
      <c r="E38" s="13" t="n"/>
      <c r="F38" s="13" t="n"/>
      <c r="G38" s="40" t="n"/>
      <c r="H38" s="35" t="n"/>
      <c r="I38" s="40" t="n"/>
      <c r="J38" s="40" t="n"/>
      <c r="K38" s="40" t="n"/>
      <c r="L38" s="40" t="n"/>
      <c r="M38" s="34" t="n"/>
      <c r="N38" s="36">
        <f>IFERROR(H38/G38*1000,"")</f>
        <v/>
      </c>
      <c r="O38" s="41">
        <f>IFERROR(I38/G38,"")</f>
        <v/>
      </c>
      <c r="P38" s="41">
        <f>IFERROR(J38/G38,"")</f>
        <v/>
      </c>
      <c r="Q38" s="42">
        <f>IFERROR(P38/O38,"")</f>
        <v/>
      </c>
      <c r="R38" s="43">
        <f>IFERROR(K38/J38,"")</f>
        <v/>
      </c>
      <c r="S38" s="37">
        <f>IFERROR(M38/H38,"")</f>
        <v/>
      </c>
      <c r="T38" s="27">
        <f>IF(G38="","",IF(G38&gt;='KPI Benchmarks'!$D$14,"Yes","No"))</f>
        <v/>
      </c>
      <c r="U38" s="44">
        <f>IF(G38="","",IF(T38="No","Running",IF(AND(N(O38)&gt;='KPI Benchmarks'!$D$5,N(Q38)&gt;='KPI Benchmarks'!$D$6,OR(N(L38)&gt;0,N(K38)&gt;0)),"WINNER",IF(AND(N(O38)&gt;='KPI Benchmarks'!$D$5,N(Q38)&gt;='KPI Benchmarks'!$D$6),"Watch","Cut"))))</f>
        <v/>
      </c>
      <c r="V38" s="27">
        <f>IF(U38="WINNER",IF(N(L38)&gt;0,"Prospecting (ASC / interests)","Retargeting candidate"),IF(U38="Watch","Retest or retargeting","" ))</f>
        <v/>
      </c>
      <c r="W38" s="13" t="n"/>
    </row>
    <row r="39">
      <c r="A39" s="13" t="n"/>
      <c r="B39" s="13" t="n"/>
      <c r="C39" s="13" t="n"/>
      <c r="D39" s="13" t="n"/>
      <c r="E39" s="13" t="n"/>
      <c r="F39" s="13" t="n"/>
      <c r="G39" s="40" t="n"/>
      <c r="H39" s="35" t="n"/>
      <c r="I39" s="40" t="n"/>
      <c r="J39" s="40" t="n"/>
      <c r="K39" s="40" t="n"/>
      <c r="L39" s="40" t="n"/>
      <c r="M39" s="34" t="n"/>
      <c r="N39" s="36">
        <f>IFERROR(H39/G39*1000,"")</f>
        <v/>
      </c>
      <c r="O39" s="41">
        <f>IFERROR(I39/G39,"")</f>
        <v/>
      </c>
      <c r="P39" s="41">
        <f>IFERROR(J39/G39,"")</f>
        <v/>
      </c>
      <c r="Q39" s="42">
        <f>IFERROR(P39/O39,"")</f>
        <v/>
      </c>
      <c r="R39" s="43">
        <f>IFERROR(K39/J39,"")</f>
        <v/>
      </c>
      <c r="S39" s="37">
        <f>IFERROR(M39/H39,"")</f>
        <v/>
      </c>
      <c r="T39" s="27">
        <f>IF(G39="","",IF(G39&gt;='KPI Benchmarks'!$D$14,"Yes","No"))</f>
        <v/>
      </c>
      <c r="U39" s="44">
        <f>IF(G39="","",IF(T39="No","Running",IF(AND(N(O39)&gt;='KPI Benchmarks'!$D$5,N(Q39)&gt;='KPI Benchmarks'!$D$6,OR(N(L39)&gt;0,N(K39)&gt;0)),"WINNER",IF(AND(N(O39)&gt;='KPI Benchmarks'!$D$5,N(Q39)&gt;='KPI Benchmarks'!$D$6),"Watch","Cut"))))</f>
        <v/>
      </c>
      <c r="V39" s="27">
        <f>IF(U39="WINNER",IF(N(L39)&gt;0,"Prospecting (ASC / interests)","Retargeting candidate"),IF(U39="Watch","Retest or retargeting","" ))</f>
        <v/>
      </c>
      <c r="W39" s="13" t="n"/>
    </row>
    <row r="40">
      <c r="A40" s="13" t="n"/>
      <c r="B40" s="13" t="n"/>
      <c r="C40" s="13" t="n"/>
      <c r="D40" s="13" t="n"/>
      <c r="E40" s="13" t="n"/>
      <c r="F40" s="13" t="n"/>
      <c r="G40" s="40" t="n"/>
      <c r="H40" s="35" t="n"/>
      <c r="I40" s="40" t="n"/>
      <c r="J40" s="40" t="n"/>
      <c r="K40" s="40" t="n"/>
      <c r="L40" s="40" t="n"/>
      <c r="M40" s="34" t="n"/>
      <c r="N40" s="36">
        <f>IFERROR(H40/G40*1000,"")</f>
        <v/>
      </c>
      <c r="O40" s="41">
        <f>IFERROR(I40/G40,"")</f>
        <v/>
      </c>
      <c r="P40" s="41">
        <f>IFERROR(J40/G40,"")</f>
        <v/>
      </c>
      <c r="Q40" s="42">
        <f>IFERROR(P40/O40,"")</f>
        <v/>
      </c>
      <c r="R40" s="43">
        <f>IFERROR(K40/J40,"")</f>
        <v/>
      </c>
      <c r="S40" s="37">
        <f>IFERROR(M40/H40,"")</f>
        <v/>
      </c>
      <c r="T40" s="27">
        <f>IF(G40="","",IF(G40&gt;='KPI Benchmarks'!$D$14,"Yes","No"))</f>
        <v/>
      </c>
      <c r="U40" s="44">
        <f>IF(G40="","",IF(T40="No","Running",IF(AND(N(O40)&gt;='KPI Benchmarks'!$D$5,N(Q40)&gt;='KPI Benchmarks'!$D$6,OR(N(L40)&gt;0,N(K40)&gt;0)),"WINNER",IF(AND(N(O40)&gt;='KPI Benchmarks'!$D$5,N(Q40)&gt;='KPI Benchmarks'!$D$6),"Watch","Cut"))))</f>
        <v/>
      </c>
      <c r="V40" s="27">
        <f>IF(U40="WINNER",IF(N(L40)&gt;0,"Prospecting (ASC / interests)","Retargeting candidate"),IF(U40="Watch","Retest or retargeting","" ))</f>
        <v/>
      </c>
      <c r="W40" s="13" t="n"/>
    </row>
    <row r="41">
      <c r="A41" s="13" t="n"/>
      <c r="B41" s="13" t="n"/>
      <c r="C41" s="13" t="n"/>
      <c r="D41" s="13" t="n"/>
      <c r="E41" s="13" t="n"/>
      <c r="F41" s="13" t="n"/>
      <c r="G41" s="40" t="n"/>
      <c r="H41" s="35" t="n"/>
      <c r="I41" s="40" t="n"/>
      <c r="J41" s="40" t="n"/>
      <c r="K41" s="40" t="n"/>
      <c r="L41" s="40" t="n"/>
      <c r="M41" s="34" t="n"/>
      <c r="N41" s="36">
        <f>IFERROR(H41/G41*1000,"")</f>
        <v/>
      </c>
      <c r="O41" s="41">
        <f>IFERROR(I41/G41,"")</f>
        <v/>
      </c>
      <c r="P41" s="41">
        <f>IFERROR(J41/G41,"")</f>
        <v/>
      </c>
      <c r="Q41" s="42">
        <f>IFERROR(P41/O41,"")</f>
        <v/>
      </c>
      <c r="R41" s="43">
        <f>IFERROR(K41/J41,"")</f>
        <v/>
      </c>
      <c r="S41" s="37">
        <f>IFERROR(M41/H41,"")</f>
        <v/>
      </c>
      <c r="T41" s="27">
        <f>IF(G41="","",IF(G41&gt;='KPI Benchmarks'!$D$14,"Yes","No"))</f>
        <v/>
      </c>
      <c r="U41" s="44">
        <f>IF(G41="","",IF(T41="No","Running",IF(AND(N(O41)&gt;='KPI Benchmarks'!$D$5,N(Q41)&gt;='KPI Benchmarks'!$D$6,OR(N(L41)&gt;0,N(K41)&gt;0)),"WINNER",IF(AND(N(O41)&gt;='KPI Benchmarks'!$D$5,N(Q41)&gt;='KPI Benchmarks'!$D$6),"Watch","Cut"))))</f>
        <v/>
      </c>
      <c r="V41" s="27">
        <f>IF(U41="WINNER",IF(N(L41)&gt;0,"Prospecting (ASC / interests)","Retargeting candidate"),IF(U41="Watch","Retest or retargeting","" ))</f>
        <v/>
      </c>
      <c r="W41" s="13" t="n"/>
    </row>
    <row r="42">
      <c r="A42" s="13" t="n"/>
      <c r="B42" s="13" t="n"/>
      <c r="C42" s="13" t="n"/>
      <c r="D42" s="13" t="n"/>
      <c r="E42" s="13" t="n"/>
      <c r="F42" s="13" t="n"/>
      <c r="G42" s="40" t="n"/>
      <c r="H42" s="35" t="n"/>
      <c r="I42" s="40" t="n"/>
      <c r="J42" s="40" t="n"/>
      <c r="K42" s="40" t="n"/>
      <c r="L42" s="40" t="n"/>
      <c r="M42" s="34" t="n"/>
      <c r="N42" s="36">
        <f>IFERROR(H42/G42*1000,"")</f>
        <v/>
      </c>
      <c r="O42" s="41">
        <f>IFERROR(I42/G42,"")</f>
        <v/>
      </c>
      <c r="P42" s="41">
        <f>IFERROR(J42/G42,"")</f>
        <v/>
      </c>
      <c r="Q42" s="42">
        <f>IFERROR(P42/O42,"")</f>
        <v/>
      </c>
      <c r="R42" s="43">
        <f>IFERROR(K42/J42,"")</f>
        <v/>
      </c>
      <c r="S42" s="37">
        <f>IFERROR(M42/H42,"")</f>
        <v/>
      </c>
      <c r="T42" s="27">
        <f>IF(G42="","",IF(G42&gt;='KPI Benchmarks'!$D$14,"Yes","No"))</f>
        <v/>
      </c>
      <c r="U42" s="44">
        <f>IF(G42="","",IF(T42="No","Running",IF(AND(N(O42)&gt;='KPI Benchmarks'!$D$5,N(Q42)&gt;='KPI Benchmarks'!$D$6,OR(N(L42)&gt;0,N(K42)&gt;0)),"WINNER",IF(AND(N(O42)&gt;='KPI Benchmarks'!$D$5,N(Q42)&gt;='KPI Benchmarks'!$D$6),"Watch","Cut"))))</f>
        <v/>
      </c>
      <c r="V42" s="27">
        <f>IF(U42="WINNER",IF(N(L42)&gt;0,"Prospecting (ASC / interests)","Retargeting candidate"),IF(U42="Watch","Retest or retargeting","" ))</f>
        <v/>
      </c>
      <c r="W42" s="13" t="n"/>
    </row>
    <row r="43">
      <c r="A43" s="13" t="n"/>
      <c r="B43" s="13" t="n"/>
      <c r="C43" s="13" t="n"/>
      <c r="D43" s="13" t="n"/>
      <c r="E43" s="13" t="n"/>
      <c r="F43" s="13" t="n"/>
      <c r="G43" s="40" t="n"/>
      <c r="H43" s="35" t="n"/>
      <c r="I43" s="40" t="n"/>
      <c r="J43" s="40" t="n"/>
      <c r="K43" s="40" t="n"/>
      <c r="L43" s="40" t="n"/>
      <c r="M43" s="34" t="n"/>
      <c r="N43" s="36">
        <f>IFERROR(H43/G43*1000,"")</f>
        <v/>
      </c>
      <c r="O43" s="41">
        <f>IFERROR(I43/G43,"")</f>
        <v/>
      </c>
      <c r="P43" s="41">
        <f>IFERROR(J43/G43,"")</f>
        <v/>
      </c>
      <c r="Q43" s="42">
        <f>IFERROR(P43/O43,"")</f>
        <v/>
      </c>
      <c r="R43" s="43">
        <f>IFERROR(K43/J43,"")</f>
        <v/>
      </c>
      <c r="S43" s="37">
        <f>IFERROR(M43/H43,"")</f>
        <v/>
      </c>
      <c r="T43" s="27">
        <f>IF(G43="","",IF(G43&gt;='KPI Benchmarks'!$D$14,"Yes","No"))</f>
        <v/>
      </c>
      <c r="U43" s="44">
        <f>IF(G43="","",IF(T43="No","Running",IF(AND(N(O43)&gt;='KPI Benchmarks'!$D$5,N(Q43)&gt;='KPI Benchmarks'!$D$6,OR(N(L43)&gt;0,N(K43)&gt;0)),"WINNER",IF(AND(N(O43)&gt;='KPI Benchmarks'!$D$5,N(Q43)&gt;='KPI Benchmarks'!$D$6),"Watch","Cut"))))</f>
        <v/>
      </c>
      <c r="V43" s="27">
        <f>IF(U43="WINNER",IF(N(L43)&gt;0,"Prospecting (ASC / interests)","Retargeting candidate"),IF(U43="Watch","Retest or retargeting","" ))</f>
        <v/>
      </c>
      <c r="W43" s="13" t="n"/>
    </row>
    <row r="44">
      <c r="A44" s="13" t="n"/>
      <c r="B44" s="13" t="n"/>
      <c r="C44" s="13" t="n"/>
      <c r="D44" s="13" t="n"/>
      <c r="E44" s="13" t="n"/>
      <c r="F44" s="13" t="n"/>
      <c r="G44" s="40" t="n"/>
      <c r="H44" s="35" t="n"/>
      <c r="I44" s="40" t="n"/>
      <c r="J44" s="40" t="n"/>
      <c r="K44" s="40" t="n"/>
      <c r="L44" s="40" t="n"/>
      <c r="M44" s="34" t="n"/>
      <c r="N44" s="36">
        <f>IFERROR(H44/G44*1000,"")</f>
        <v/>
      </c>
      <c r="O44" s="41">
        <f>IFERROR(I44/G44,"")</f>
        <v/>
      </c>
      <c r="P44" s="41">
        <f>IFERROR(J44/G44,"")</f>
        <v/>
      </c>
      <c r="Q44" s="42">
        <f>IFERROR(P44/O44,"")</f>
        <v/>
      </c>
      <c r="R44" s="43">
        <f>IFERROR(K44/J44,"")</f>
        <v/>
      </c>
      <c r="S44" s="37">
        <f>IFERROR(M44/H44,"")</f>
        <v/>
      </c>
      <c r="T44" s="27">
        <f>IF(G44="","",IF(G44&gt;='KPI Benchmarks'!$D$14,"Yes","No"))</f>
        <v/>
      </c>
      <c r="U44" s="44">
        <f>IF(G44="","",IF(T44="No","Running",IF(AND(N(O44)&gt;='KPI Benchmarks'!$D$5,N(Q44)&gt;='KPI Benchmarks'!$D$6,OR(N(L44)&gt;0,N(K44)&gt;0)),"WINNER",IF(AND(N(O44)&gt;='KPI Benchmarks'!$D$5,N(Q44)&gt;='KPI Benchmarks'!$D$6),"Watch","Cut"))))</f>
        <v/>
      </c>
      <c r="V44" s="27">
        <f>IF(U44="WINNER",IF(N(L44)&gt;0,"Prospecting (ASC / interests)","Retargeting candidate"),IF(U44="Watch","Retest or retargeting","" ))</f>
        <v/>
      </c>
      <c r="W44" s="13" t="n"/>
    </row>
    <row r="45">
      <c r="A45" s="13" t="n"/>
      <c r="B45" s="13" t="n"/>
      <c r="C45" s="13" t="n"/>
      <c r="D45" s="13" t="n"/>
      <c r="E45" s="13" t="n"/>
      <c r="F45" s="13" t="n"/>
      <c r="G45" s="40" t="n"/>
      <c r="H45" s="35" t="n"/>
      <c r="I45" s="40" t="n"/>
      <c r="J45" s="40" t="n"/>
      <c r="K45" s="40" t="n"/>
      <c r="L45" s="40" t="n"/>
      <c r="M45" s="34" t="n"/>
      <c r="N45" s="36">
        <f>IFERROR(H45/G45*1000,"")</f>
        <v/>
      </c>
      <c r="O45" s="41">
        <f>IFERROR(I45/G45,"")</f>
        <v/>
      </c>
      <c r="P45" s="41">
        <f>IFERROR(J45/G45,"")</f>
        <v/>
      </c>
      <c r="Q45" s="42">
        <f>IFERROR(P45/O45,"")</f>
        <v/>
      </c>
      <c r="R45" s="43">
        <f>IFERROR(K45/J45,"")</f>
        <v/>
      </c>
      <c r="S45" s="37">
        <f>IFERROR(M45/H45,"")</f>
        <v/>
      </c>
      <c r="T45" s="27">
        <f>IF(G45="","",IF(G45&gt;='KPI Benchmarks'!$D$14,"Yes","No"))</f>
        <v/>
      </c>
      <c r="U45" s="44">
        <f>IF(G45="","",IF(T45="No","Running",IF(AND(N(O45)&gt;='KPI Benchmarks'!$D$5,N(Q45)&gt;='KPI Benchmarks'!$D$6,OR(N(L45)&gt;0,N(K45)&gt;0)),"WINNER",IF(AND(N(O45)&gt;='KPI Benchmarks'!$D$5,N(Q45)&gt;='KPI Benchmarks'!$D$6),"Watch","Cut"))))</f>
        <v/>
      </c>
      <c r="V45" s="27">
        <f>IF(U45="WINNER",IF(N(L45)&gt;0,"Prospecting (ASC / interests)","Retargeting candidate"),IF(U45="Watch","Retest or retargeting","" ))</f>
        <v/>
      </c>
      <c r="W45" s="13" t="n"/>
    </row>
    <row r="46">
      <c r="A46" s="13" t="n"/>
      <c r="B46" s="13" t="n"/>
      <c r="C46" s="13" t="n"/>
      <c r="D46" s="13" t="n"/>
      <c r="E46" s="13" t="n"/>
      <c r="F46" s="13" t="n"/>
      <c r="G46" s="40" t="n"/>
      <c r="H46" s="35" t="n"/>
      <c r="I46" s="40" t="n"/>
      <c r="J46" s="40" t="n"/>
      <c r="K46" s="40" t="n"/>
      <c r="L46" s="40" t="n"/>
      <c r="M46" s="34" t="n"/>
      <c r="N46" s="36">
        <f>IFERROR(H46/G46*1000,"")</f>
        <v/>
      </c>
      <c r="O46" s="41">
        <f>IFERROR(I46/G46,"")</f>
        <v/>
      </c>
      <c r="P46" s="41">
        <f>IFERROR(J46/G46,"")</f>
        <v/>
      </c>
      <c r="Q46" s="42">
        <f>IFERROR(P46/O46,"")</f>
        <v/>
      </c>
      <c r="R46" s="43">
        <f>IFERROR(K46/J46,"")</f>
        <v/>
      </c>
      <c r="S46" s="37">
        <f>IFERROR(M46/H46,"")</f>
        <v/>
      </c>
      <c r="T46" s="27">
        <f>IF(G46="","",IF(G46&gt;='KPI Benchmarks'!$D$14,"Yes","No"))</f>
        <v/>
      </c>
      <c r="U46" s="44">
        <f>IF(G46="","",IF(T46="No","Running",IF(AND(N(O46)&gt;='KPI Benchmarks'!$D$5,N(Q46)&gt;='KPI Benchmarks'!$D$6,OR(N(L46)&gt;0,N(K46)&gt;0)),"WINNER",IF(AND(N(O46)&gt;='KPI Benchmarks'!$D$5,N(Q46)&gt;='KPI Benchmarks'!$D$6),"Watch","Cut"))))</f>
        <v/>
      </c>
      <c r="V46" s="27">
        <f>IF(U46="WINNER",IF(N(L46)&gt;0,"Prospecting (ASC / interests)","Retargeting candidate"),IF(U46="Watch","Retest or retargeting","" ))</f>
        <v/>
      </c>
      <c r="W46" s="13" t="n"/>
    </row>
    <row r="47">
      <c r="A47" s="13" t="n"/>
      <c r="B47" s="13" t="n"/>
      <c r="C47" s="13" t="n"/>
      <c r="D47" s="13" t="n"/>
      <c r="E47" s="13" t="n"/>
      <c r="F47" s="13" t="n"/>
      <c r="G47" s="40" t="n"/>
      <c r="H47" s="35" t="n"/>
      <c r="I47" s="40" t="n"/>
      <c r="J47" s="40" t="n"/>
      <c r="K47" s="40" t="n"/>
      <c r="L47" s="40" t="n"/>
      <c r="M47" s="34" t="n"/>
      <c r="N47" s="36">
        <f>IFERROR(H47/G47*1000,"")</f>
        <v/>
      </c>
      <c r="O47" s="41">
        <f>IFERROR(I47/G47,"")</f>
        <v/>
      </c>
      <c r="P47" s="41">
        <f>IFERROR(J47/G47,"")</f>
        <v/>
      </c>
      <c r="Q47" s="42">
        <f>IFERROR(P47/O47,"")</f>
        <v/>
      </c>
      <c r="R47" s="43">
        <f>IFERROR(K47/J47,"")</f>
        <v/>
      </c>
      <c r="S47" s="37">
        <f>IFERROR(M47/H47,"")</f>
        <v/>
      </c>
      <c r="T47" s="27">
        <f>IF(G47="","",IF(G47&gt;='KPI Benchmarks'!$D$14,"Yes","No"))</f>
        <v/>
      </c>
      <c r="U47" s="44">
        <f>IF(G47="","",IF(T47="No","Running",IF(AND(N(O47)&gt;='KPI Benchmarks'!$D$5,N(Q47)&gt;='KPI Benchmarks'!$D$6,OR(N(L47)&gt;0,N(K47)&gt;0)),"WINNER",IF(AND(N(O47)&gt;='KPI Benchmarks'!$D$5,N(Q47)&gt;='KPI Benchmarks'!$D$6),"Watch","Cut"))))</f>
        <v/>
      </c>
      <c r="V47" s="27">
        <f>IF(U47="WINNER",IF(N(L47)&gt;0,"Prospecting (ASC / interests)","Retargeting candidate"),IF(U47="Watch","Retest or retargeting","" ))</f>
        <v/>
      </c>
      <c r="W47" s="13" t="n"/>
    </row>
    <row r="48">
      <c r="A48" s="13" t="n"/>
      <c r="B48" s="13" t="n"/>
      <c r="C48" s="13" t="n"/>
      <c r="D48" s="13" t="n"/>
      <c r="E48" s="13" t="n"/>
      <c r="F48" s="13" t="n"/>
      <c r="G48" s="40" t="n"/>
      <c r="H48" s="35" t="n"/>
      <c r="I48" s="40" t="n"/>
      <c r="J48" s="40" t="n"/>
      <c r="K48" s="40" t="n"/>
      <c r="L48" s="40" t="n"/>
      <c r="M48" s="34" t="n"/>
      <c r="N48" s="36">
        <f>IFERROR(H48/G48*1000,"")</f>
        <v/>
      </c>
      <c r="O48" s="41">
        <f>IFERROR(I48/G48,"")</f>
        <v/>
      </c>
      <c r="P48" s="41">
        <f>IFERROR(J48/G48,"")</f>
        <v/>
      </c>
      <c r="Q48" s="42">
        <f>IFERROR(P48/O48,"")</f>
        <v/>
      </c>
      <c r="R48" s="43">
        <f>IFERROR(K48/J48,"")</f>
        <v/>
      </c>
      <c r="S48" s="37">
        <f>IFERROR(M48/H48,"")</f>
        <v/>
      </c>
      <c r="T48" s="27">
        <f>IF(G48="","",IF(G48&gt;='KPI Benchmarks'!$D$14,"Yes","No"))</f>
        <v/>
      </c>
      <c r="U48" s="44">
        <f>IF(G48="","",IF(T48="No","Running",IF(AND(N(O48)&gt;='KPI Benchmarks'!$D$5,N(Q48)&gt;='KPI Benchmarks'!$D$6,OR(N(L48)&gt;0,N(K48)&gt;0)),"WINNER",IF(AND(N(O48)&gt;='KPI Benchmarks'!$D$5,N(Q48)&gt;='KPI Benchmarks'!$D$6),"Watch","Cut"))))</f>
        <v/>
      </c>
      <c r="V48" s="27">
        <f>IF(U48="WINNER",IF(N(L48)&gt;0,"Prospecting (ASC / interests)","Retargeting candidate"),IF(U48="Watch","Retest or retargeting","" ))</f>
        <v/>
      </c>
      <c r="W48" s="13" t="n"/>
    </row>
    <row r="49">
      <c r="A49" s="13" t="n"/>
      <c r="B49" s="13" t="n"/>
      <c r="C49" s="13" t="n"/>
      <c r="D49" s="13" t="n"/>
      <c r="E49" s="13" t="n"/>
      <c r="F49" s="13" t="n"/>
      <c r="G49" s="40" t="n"/>
      <c r="H49" s="35" t="n"/>
      <c r="I49" s="40" t="n"/>
      <c r="J49" s="40" t="n"/>
      <c r="K49" s="40" t="n"/>
      <c r="L49" s="40" t="n"/>
      <c r="M49" s="34" t="n"/>
      <c r="N49" s="36">
        <f>IFERROR(H49/G49*1000,"")</f>
        <v/>
      </c>
      <c r="O49" s="41">
        <f>IFERROR(I49/G49,"")</f>
        <v/>
      </c>
      <c r="P49" s="41">
        <f>IFERROR(J49/G49,"")</f>
        <v/>
      </c>
      <c r="Q49" s="42">
        <f>IFERROR(P49/O49,"")</f>
        <v/>
      </c>
      <c r="R49" s="43">
        <f>IFERROR(K49/J49,"")</f>
        <v/>
      </c>
      <c r="S49" s="37">
        <f>IFERROR(M49/H49,"")</f>
        <v/>
      </c>
      <c r="T49" s="27">
        <f>IF(G49="","",IF(G49&gt;='KPI Benchmarks'!$D$14,"Yes","No"))</f>
        <v/>
      </c>
      <c r="U49" s="44">
        <f>IF(G49="","",IF(T49="No","Running",IF(AND(N(O49)&gt;='KPI Benchmarks'!$D$5,N(Q49)&gt;='KPI Benchmarks'!$D$6,OR(N(L49)&gt;0,N(K49)&gt;0)),"WINNER",IF(AND(N(O49)&gt;='KPI Benchmarks'!$D$5,N(Q49)&gt;='KPI Benchmarks'!$D$6),"Watch","Cut"))))</f>
        <v/>
      </c>
      <c r="V49" s="27">
        <f>IF(U49="WINNER",IF(N(L49)&gt;0,"Prospecting (ASC / interests)","Retargeting candidate"),IF(U49="Watch","Retest or retargeting","" ))</f>
        <v/>
      </c>
      <c r="W49" s="13" t="n"/>
    </row>
    <row r="50">
      <c r="A50" s="13" t="n"/>
      <c r="B50" s="13" t="n"/>
      <c r="C50" s="13" t="n"/>
      <c r="D50" s="13" t="n"/>
      <c r="E50" s="13" t="n"/>
      <c r="F50" s="13" t="n"/>
      <c r="G50" s="40" t="n"/>
      <c r="H50" s="35" t="n"/>
      <c r="I50" s="40" t="n"/>
      <c r="J50" s="40" t="n"/>
      <c r="K50" s="40" t="n"/>
      <c r="L50" s="40" t="n"/>
      <c r="M50" s="34" t="n"/>
      <c r="N50" s="36">
        <f>IFERROR(H50/G50*1000,"")</f>
        <v/>
      </c>
      <c r="O50" s="41">
        <f>IFERROR(I50/G50,"")</f>
        <v/>
      </c>
      <c r="P50" s="41">
        <f>IFERROR(J50/G50,"")</f>
        <v/>
      </c>
      <c r="Q50" s="42">
        <f>IFERROR(P50/O50,"")</f>
        <v/>
      </c>
      <c r="R50" s="43">
        <f>IFERROR(K50/J50,"")</f>
        <v/>
      </c>
      <c r="S50" s="37">
        <f>IFERROR(M50/H50,"")</f>
        <v/>
      </c>
      <c r="T50" s="27">
        <f>IF(G50="","",IF(G50&gt;='KPI Benchmarks'!$D$14,"Yes","No"))</f>
        <v/>
      </c>
      <c r="U50" s="44">
        <f>IF(G50="","",IF(T50="No","Running",IF(AND(N(O50)&gt;='KPI Benchmarks'!$D$5,N(Q50)&gt;='KPI Benchmarks'!$D$6,OR(N(L50)&gt;0,N(K50)&gt;0)),"WINNER",IF(AND(N(O50)&gt;='KPI Benchmarks'!$D$5,N(Q50)&gt;='KPI Benchmarks'!$D$6),"Watch","Cut"))))</f>
        <v/>
      </c>
      <c r="V50" s="27">
        <f>IF(U50="WINNER",IF(N(L50)&gt;0,"Prospecting (ASC / interests)","Retargeting candidate"),IF(U50="Watch","Retest or retargeting","" ))</f>
        <v/>
      </c>
      <c r="W50" s="13" t="n"/>
    </row>
    <row r="51">
      <c r="A51" s="13" t="n"/>
      <c r="B51" s="13" t="n"/>
      <c r="C51" s="13" t="n"/>
      <c r="D51" s="13" t="n"/>
      <c r="E51" s="13" t="n"/>
      <c r="F51" s="13" t="n"/>
      <c r="G51" s="40" t="n"/>
      <c r="H51" s="35" t="n"/>
      <c r="I51" s="40" t="n"/>
      <c r="J51" s="40" t="n"/>
      <c r="K51" s="40" t="n"/>
      <c r="L51" s="40" t="n"/>
      <c r="M51" s="34" t="n"/>
      <c r="N51" s="36">
        <f>IFERROR(H51/G51*1000,"")</f>
        <v/>
      </c>
      <c r="O51" s="41">
        <f>IFERROR(I51/G51,"")</f>
        <v/>
      </c>
      <c r="P51" s="41">
        <f>IFERROR(J51/G51,"")</f>
        <v/>
      </c>
      <c r="Q51" s="42">
        <f>IFERROR(P51/O51,"")</f>
        <v/>
      </c>
      <c r="R51" s="43">
        <f>IFERROR(K51/J51,"")</f>
        <v/>
      </c>
      <c r="S51" s="37">
        <f>IFERROR(M51/H51,"")</f>
        <v/>
      </c>
      <c r="T51" s="27">
        <f>IF(G51="","",IF(G51&gt;='KPI Benchmarks'!$D$14,"Yes","No"))</f>
        <v/>
      </c>
      <c r="U51" s="44">
        <f>IF(G51="","",IF(T51="No","Running",IF(AND(N(O51)&gt;='KPI Benchmarks'!$D$5,N(Q51)&gt;='KPI Benchmarks'!$D$6,OR(N(L51)&gt;0,N(K51)&gt;0)),"WINNER",IF(AND(N(O51)&gt;='KPI Benchmarks'!$D$5,N(Q51)&gt;='KPI Benchmarks'!$D$6),"Watch","Cut"))))</f>
        <v/>
      </c>
      <c r="V51" s="27">
        <f>IF(U51="WINNER",IF(N(L51)&gt;0,"Prospecting (ASC / interests)","Retargeting candidate"),IF(U51="Watch","Retest or retargeting","" ))</f>
        <v/>
      </c>
      <c r="W51" s="13" t="n"/>
    </row>
    <row r="52">
      <c r="A52" s="13" t="n"/>
      <c r="B52" s="13" t="n"/>
      <c r="C52" s="13" t="n"/>
      <c r="D52" s="13" t="n"/>
      <c r="E52" s="13" t="n"/>
      <c r="F52" s="13" t="n"/>
      <c r="G52" s="40" t="n"/>
      <c r="H52" s="35" t="n"/>
      <c r="I52" s="40" t="n"/>
      <c r="J52" s="40" t="n"/>
      <c r="K52" s="40" t="n"/>
      <c r="L52" s="40" t="n"/>
      <c r="M52" s="34" t="n"/>
      <c r="N52" s="36">
        <f>IFERROR(H52/G52*1000,"")</f>
        <v/>
      </c>
      <c r="O52" s="41">
        <f>IFERROR(I52/G52,"")</f>
        <v/>
      </c>
      <c r="P52" s="41">
        <f>IFERROR(J52/G52,"")</f>
        <v/>
      </c>
      <c r="Q52" s="42">
        <f>IFERROR(P52/O52,"")</f>
        <v/>
      </c>
      <c r="R52" s="43">
        <f>IFERROR(K52/J52,"")</f>
        <v/>
      </c>
      <c r="S52" s="37">
        <f>IFERROR(M52/H52,"")</f>
        <v/>
      </c>
      <c r="T52" s="27">
        <f>IF(G52="","",IF(G52&gt;='KPI Benchmarks'!$D$14,"Yes","No"))</f>
        <v/>
      </c>
      <c r="U52" s="44">
        <f>IF(G52="","",IF(T52="No","Running",IF(AND(N(O52)&gt;='KPI Benchmarks'!$D$5,N(Q52)&gt;='KPI Benchmarks'!$D$6,OR(N(L52)&gt;0,N(K52)&gt;0)),"WINNER",IF(AND(N(O52)&gt;='KPI Benchmarks'!$D$5,N(Q52)&gt;='KPI Benchmarks'!$D$6),"Watch","Cut"))))</f>
        <v/>
      </c>
      <c r="V52" s="27">
        <f>IF(U52="WINNER",IF(N(L52)&gt;0,"Prospecting (ASC / interests)","Retargeting candidate"),IF(U52="Watch","Retest or retargeting","" ))</f>
        <v/>
      </c>
      <c r="W52" s="13" t="n"/>
    </row>
    <row r="53">
      <c r="A53" s="13" t="n"/>
      <c r="B53" s="13" t="n"/>
      <c r="C53" s="13" t="n"/>
      <c r="D53" s="13" t="n"/>
      <c r="E53" s="13" t="n"/>
      <c r="F53" s="13" t="n"/>
      <c r="G53" s="40" t="n"/>
      <c r="H53" s="35" t="n"/>
      <c r="I53" s="40" t="n"/>
      <c r="J53" s="40" t="n"/>
      <c r="K53" s="40" t="n"/>
      <c r="L53" s="40" t="n"/>
      <c r="M53" s="34" t="n"/>
      <c r="N53" s="36">
        <f>IFERROR(H53/G53*1000,"")</f>
        <v/>
      </c>
      <c r="O53" s="41">
        <f>IFERROR(I53/G53,"")</f>
        <v/>
      </c>
      <c r="P53" s="41">
        <f>IFERROR(J53/G53,"")</f>
        <v/>
      </c>
      <c r="Q53" s="42">
        <f>IFERROR(P53/O53,"")</f>
        <v/>
      </c>
      <c r="R53" s="43">
        <f>IFERROR(K53/J53,"")</f>
        <v/>
      </c>
      <c r="S53" s="37">
        <f>IFERROR(M53/H53,"")</f>
        <v/>
      </c>
      <c r="T53" s="27">
        <f>IF(G53="","",IF(G53&gt;='KPI Benchmarks'!$D$14,"Yes","No"))</f>
        <v/>
      </c>
      <c r="U53" s="44">
        <f>IF(G53="","",IF(T53="No","Running",IF(AND(N(O53)&gt;='KPI Benchmarks'!$D$5,N(Q53)&gt;='KPI Benchmarks'!$D$6,OR(N(L53)&gt;0,N(K53)&gt;0)),"WINNER",IF(AND(N(O53)&gt;='KPI Benchmarks'!$D$5,N(Q53)&gt;='KPI Benchmarks'!$D$6),"Watch","Cut"))))</f>
        <v/>
      </c>
      <c r="V53" s="27">
        <f>IF(U53="WINNER",IF(N(L53)&gt;0,"Prospecting (ASC / interests)","Retargeting candidate"),IF(U53="Watch","Retest or retargeting","" ))</f>
        <v/>
      </c>
      <c r="W53" s="13" t="n"/>
    </row>
    <row r="54">
      <c r="A54" s="13" t="n"/>
      <c r="B54" s="13" t="n"/>
      <c r="C54" s="13" t="n"/>
      <c r="D54" s="13" t="n"/>
      <c r="E54" s="13" t="n"/>
      <c r="F54" s="13" t="n"/>
      <c r="G54" s="40" t="n"/>
      <c r="H54" s="35" t="n"/>
      <c r="I54" s="40" t="n"/>
      <c r="J54" s="40" t="n"/>
      <c r="K54" s="40" t="n"/>
      <c r="L54" s="40" t="n"/>
      <c r="M54" s="34" t="n"/>
      <c r="N54" s="36">
        <f>IFERROR(H54/G54*1000,"")</f>
        <v/>
      </c>
      <c r="O54" s="41">
        <f>IFERROR(I54/G54,"")</f>
        <v/>
      </c>
      <c r="P54" s="41">
        <f>IFERROR(J54/G54,"")</f>
        <v/>
      </c>
      <c r="Q54" s="42">
        <f>IFERROR(P54/O54,"")</f>
        <v/>
      </c>
      <c r="R54" s="43">
        <f>IFERROR(K54/J54,"")</f>
        <v/>
      </c>
      <c r="S54" s="37">
        <f>IFERROR(M54/H54,"")</f>
        <v/>
      </c>
      <c r="T54" s="27">
        <f>IF(G54="","",IF(G54&gt;='KPI Benchmarks'!$D$14,"Yes","No"))</f>
        <v/>
      </c>
      <c r="U54" s="44">
        <f>IF(G54="","",IF(T54="No","Running",IF(AND(N(O54)&gt;='KPI Benchmarks'!$D$5,N(Q54)&gt;='KPI Benchmarks'!$D$6,OR(N(L54)&gt;0,N(K54)&gt;0)),"WINNER",IF(AND(N(O54)&gt;='KPI Benchmarks'!$D$5,N(Q54)&gt;='KPI Benchmarks'!$D$6),"Watch","Cut"))))</f>
        <v/>
      </c>
      <c r="V54" s="27">
        <f>IF(U54="WINNER",IF(N(L54)&gt;0,"Prospecting (ASC / interests)","Retargeting candidate"),IF(U54="Watch","Retest or retargeting","" ))</f>
        <v/>
      </c>
      <c r="W54" s="13" t="n"/>
    </row>
    <row r="55">
      <c r="A55" s="13" t="n"/>
      <c r="B55" s="13" t="n"/>
      <c r="C55" s="13" t="n"/>
      <c r="D55" s="13" t="n"/>
      <c r="E55" s="13" t="n"/>
      <c r="F55" s="13" t="n"/>
      <c r="G55" s="40" t="n"/>
      <c r="H55" s="35" t="n"/>
      <c r="I55" s="40" t="n"/>
      <c r="J55" s="40" t="n"/>
      <c r="K55" s="40" t="n"/>
      <c r="L55" s="40" t="n"/>
      <c r="M55" s="34" t="n"/>
      <c r="N55" s="36">
        <f>IFERROR(H55/G55*1000,"")</f>
        <v/>
      </c>
      <c r="O55" s="41">
        <f>IFERROR(I55/G55,"")</f>
        <v/>
      </c>
      <c r="P55" s="41">
        <f>IFERROR(J55/G55,"")</f>
        <v/>
      </c>
      <c r="Q55" s="42">
        <f>IFERROR(P55/O55,"")</f>
        <v/>
      </c>
      <c r="R55" s="43">
        <f>IFERROR(K55/J55,"")</f>
        <v/>
      </c>
      <c r="S55" s="37">
        <f>IFERROR(M55/H55,"")</f>
        <v/>
      </c>
      <c r="T55" s="27">
        <f>IF(G55="","",IF(G55&gt;='KPI Benchmarks'!$D$14,"Yes","No"))</f>
        <v/>
      </c>
      <c r="U55" s="44">
        <f>IF(G55="","",IF(T55="No","Running",IF(AND(N(O55)&gt;='KPI Benchmarks'!$D$5,N(Q55)&gt;='KPI Benchmarks'!$D$6,OR(N(L55)&gt;0,N(K55)&gt;0)),"WINNER",IF(AND(N(O55)&gt;='KPI Benchmarks'!$D$5,N(Q55)&gt;='KPI Benchmarks'!$D$6),"Watch","Cut"))))</f>
        <v/>
      </c>
      <c r="V55" s="27">
        <f>IF(U55="WINNER",IF(N(L55)&gt;0,"Prospecting (ASC / interests)","Retargeting candidate"),IF(U55="Watch","Retest or retargeting","" ))</f>
        <v/>
      </c>
      <c r="W55" s="13" t="n"/>
    </row>
    <row r="56">
      <c r="A56" s="13" t="n"/>
      <c r="B56" s="13" t="n"/>
      <c r="C56" s="13" t="n"/>
      <c r="D56" s="13" t="n"/>
      <c r="E56" s="13" t="n"/>
      <c r="F56" s="13" t="n"/>
      <c r="G56" s="40" t="n"/>
      <c r="H56" s="35" t="n"/>
      <c r="I56" s="40" t="n"/>
      <c r="J56" s="40" t="n"/>
      <c r="K56" s="40" t="n"/>
      <c r="L56" s="40" t="n"/>
      <c r="M56" s="34" t="n"/>
      <c r="N56" s="36">
        <f>IFERROR(H56/G56*1000,"")</f>
        <v/>
      </c>
      <c r="O56" s="41">
        <f>IFERROR(I56/G56,"")</f>
        <v/>
      </c>
      <c r="P56" s="41">
        <f>IFERROR(J56/G56,"")</f>
        <v/>
      </c>
      <c r="Q56" s="42">
        <f>IFERROR(P56/O56,"")</f>
        <v/>
      </c>
      <c r="R56" s="43">
        <f>IFERROR(K56/J56,"")</f>
        <v/>
      </c>
      <c r="S56" s="37">
        <f>IFERROR(M56/H56,"")</f>
        <v/>
      </c>
      <c r="T56" s="27">
        <f>IF(G56="","",IF(G56&gt;='KPI Benchmarks'!$D$14,"Yes","No"))</f>
        <v/>
      </c>
      <c r="U56" s="44">
        <f>IF(G56="","",IF(T56="No","Running",IF(AND(N(O56)&gt;='KPI Benchmarks'!$D$5,N(Q56)&gt;='KPI Benchmarks'!$D$6,OR(N(L56)&gt;0,N(K56)&gt;0)),"WINNER",IF(AND(N(O56)&gt;='KPI Benchmarks'!$D$5,N(Q56)&gt;='KPI Benchmarks'!$D$6),"Watch","Cut"))))</f>
        <v/>
      </c>
      <c r="V56" s="27">
        <f>IF(U56="WINNER",IF(N(L56)&gt;0,"Prospecting (ASC / interests)","Retargeting candidate"),IF(U56="Watch","Retest or retargeting","" ))</f>
        <v/>
      </c>
      <c r="W56" s="13" t="n"/>
    </row>
    <row r="57">
      <c r="A57" s="13" t="n"/>
      <c r="B57" s="13" t="n"/>
      <c r="C57" s="13" t="n"/>
      <c r="D57" s="13" t="n"/>
      <c r="E57" s="13" t="n"/>
      <c r="F57" s="13" t="n"/>
      <c r="G57" s="40" t="n"/>
      <c r="H57" s="35" t="n"/>
      <c r="I57" s="40" t="n"/>
      <c r="J57" s="40" t="n"/>
      <c r="K57" s="40" t="n"/>
      <c r="L57" s="40" t="n"/>
      <c r="M57" s="34" t="n"/>
      <c r="N57" s="36">
        <f>IFERROR(H57/G57*1000,"")</f>
        <v/>
      </c>
      <c r="O57" s="41">
        <f>IFERROR(I57/G57,"")</f>
        <v/>
      </c>
      <c r="P57" s="41">
        <f>IFERROR(J57/G57,"")</f>
        <v/>
      </c>
      <c r="Q57" s="42">
        <f>IFERROR(P57/O57,"")</f>
        <v/>
      </c>
      <c r="R57" s="43">
        <f>IFERROR(K57/J57,"")</f>
        <v/>
      </c>
      <c r="S57" s="37">
        <f>IFERROR(M57/H57,"")</f>
        <v/>
      </c>
      <c r="T57" s="27">
        <f>IF(G57="","",IF(G57&gt;='KPI Benchmarks'!$D$14,"Yes","No"))</f>
        <v/>
      </c>
      <c r="U57" s="44">
        <f>IF(G57="","",IF(T57="No","Running",IF(AND(N(O57)&gt;='KPI Benchmarks'!$D$5,N(Q57)&gt;='KPI Benchmarks'!$D$6,OR(N(L57)&gt;0,N(K57)&gt;0)),"WINNER",IF(AND(N(O57)&gt;='KPI Benchmarks'!$D$5,N(Q57)&gt;='KPI Benchmarks'!$D$6),"Watch","Cut"))))</f>
        <v/>
      </c>
      <c r="V57" s="27">
        <f>IF(U57="WINNER",IF(N(L57)&gt;0,"Prospecting (ASC / interests)","Retargeting candidate"),IF(U57="Watch","Retest or retargeting","" ))</f>
        <v/>
      </c>
      <c r="W57" s="13" t="n"/>
    </row>
    <row r="58">
      <c r="A58" s="13" t="n"/>
      <c r="B58" s="13" t="n"/>
      <c r="C58" s="13" t="n"/>
      <c r="D58" s="13" t="n"/>
      <c r="E58" s="13" t="n"/>
      <c r="F58" s="13" t="n"/>
      <c r="G58" s="40" t="n"/>
      <c r="H58" s="35" t="n"/>
      <c r="I58" s="40" t="n"/>
      <c r="J58" s="40" t="n"/>
      <c r="K58" s="40" t="n"/>
      <c r="L58" s="40" t="n"/>
      <c r="M58" s="34" t="n"/>
      <c r="N58" s="36">
        <f>IFERROR(H58/G58*1000,"")</f>
        <v/>
      </c>
      <c r="O58" s="41">
        <f>IFERROR(I58/G58,"")</f>
        <v/>
      </c>
      <c r="P58" s="41">
        <f>IFERROR(J58/G58,"")</f>
        <v/>
      </c>
      <c r="Q58" s="42">
        <f>IFERROR(P58/O58,"")</f>
        <v/>
      </c>
      <c r="R58" s="43">
        <f>IFERROR(K58/J58,"")</f>
        <v/>
      </c>
      <c r="S58" s="37">
        <f>IFERROR(M58/H58,"")</f>
        <v/>
      </c>
      <c r="T58" s="27">
        <f>IF(G58="","",IF(G58&gt;='KPI Benchmarks'!$D$14,"Yes","No"))</f>
        <v/>
      </c>
      <c r="U58" s="44">
        <f>IF(G58="","",IF(T58="No","Running",IF(AND(N(O58)&gt;='KPI Benchmarks'!$D$5,N(Q58)&gt;='KPI Benchmarks'!$D$6,OR(N(L58)&gt;0,N(K58)&gt;0)),"WINNER",IF(AND(N(O58)&gt;='KPI Benchmarks'!$D$5,N(Q58)&gt;='KPI Benchmarks'!$D$6),"Watch","Cut"))))</f>
        <v/>
      </c>
      <c r="V58" s="27">
        <f>IF(U58="WINNER",IF(N(L58)&gt;0,"Prospecting (ASC / interests)","Retargeting candidate"),IF(U58="Watch","Retest or retargeting","" ))</f>
        <v/>
      </c>
      <c r="W58" s="13" t="n"/>
    </row>
    <row r="59">
      <c r="A59" s="13" t="n"/>
      <c r="B59" s="13" t="n"/>
      <c r="C59" s="13" t="n"/>
      <c r="D59" s="13" t="n"/>
      <c r="E59" s="13" t="n"/>
      <c r="F59" s="13" t="n"/>
      <c r="G59" s="40" t="n"/>
      <c r="H59" s="35" t="n"/>
      <c r="I59" s="40" t="n"/>
      <c r="J59" s="40" t="n"/>
      <c r="K59" s="40" t="n"/>
      <c r="L59" s="40" t="n"/>
      <c r="M59" s="34" t="n"/>
      <c r="N59" s="36">
        <f>IFERROR(H59/G59*1000,"")</f>
        <v/>
      </c>
      <c r="O59" s="41">
        <f>IFERROR(I59/G59,"")</f>
        <v/>
      </c>
      <c r="P59" s="41">
        <f>IFERROR(J59/G59,"")</f>
        <v/>
      </c>
      <c r="Q59" s="42">
        <f>IFERROR(P59/O59,"")</f>
        <v/>
      </c>
      <c r="R59" s="43">
        <f>IFERROR(K59/J59,"")</f>
        <v/>
      </c>
      <c r="S59" s="37">
        <f>IFERROR(M59/H59,"")</f>
        <v/>
      </c>
      <c r="T59" s="27">
        <f>IF(G59="","",IF(G59&gt;='KPI Benchmarks'!$D$14,"Yes","No"))</f>
        <v/>
      </c>
      <c r="U59" s="44">
        <f>IF(G59="","",IF(T59="No","Running",IF(AND(N(O59)&gt;='KPI Benchmarks'!$D$5,N(Q59)&gt;='KPI Benchmarks'!$D$6,OR(N(L59)&gt;0,N(K59)&gt;0)),"WINNER",IF(AND(N(O59)&gt;='KPI Benchmarks'!$D$5,N(Q59)&gt;='KPI Benchmarks'!$D$6),"Watch","Cut"))))</f>
        <v/>
      </c>
      <c r="V59" s="27">
        <f>IF(U59="WINNER",IF(N(L59)&gt;0,"Prospecting (ASC / interests)","Retargeting candidate"),IF(U59="Watch","Retest or retargeting","" ))</f>
        <v/>
      </c>
      <c r="W59" s="13" t="n"/>
    </row>
    <row r="60">
      <c r="A60" s="13" t="n"/>
      <c r="B60" s="13" t="n"/>
      <c r="C60" s="13" t="n"/>
      <c r="D60" s="13" t="n"/>
      <c r="E60" s="13" t="n"/>
      <c r="F60" s="13" t="n"/>
      <c r="G60" s="40" t="n"/>
      <c r="H60" s="35" t="n"/>
      <c r="I60" s="40" t="n"/>
      <c r="J60" s="40" t="n"/>
      <c r="K60" s="40" t="n"/>
      <c r="L60" s="40" t="n"/>
      <c r="M60" s="34" t="n"/>
      <c r="N60" s="36">
        <f>IFERROR(H60/G60*1000,"")</f>
        <v/>
      </c>
      <c r="O60" s="41">
        <f>IFERROR(I60/G60,"")</f>
        <v/>
      </c>
      <c r="P60" s="41">
        <f>IFERROR(J60/G60,"")</f>
        <v/>
      </c>
      <c r="Q60" s="42">
        <f>IFERROR(P60/O60,"")</f>
        <v/>
      </c>
      <c r="R60" s="43">
        <f>IFERROR(K60/J60,"")</f>
        <v/>
      </c>
      <c r="S60" s="37">
        <f>IFERROR(M60/H60,"")</f>
        <v/>
      </c>
      <c r="T60" s="27">
        <f>IF(G60="","",IF(G60&gt;='KPI Benchmarks'!$D$14,"Yes","No"))</f>
        <v/>
      </c>
      <c r="U60" s="44">
        <f>IF(G60="","",IF(T60="No","Running",IF(AND(N(O60)&gt;='KPI Benchmarks'!$D$5,N(Q60)&gt;='KPI Benchmarks'!$D$6,OR(N(L60)&gt;0,N(K60)&gt;0)),"WINNER",IF(AND(N(O60)&gt;='KPI Benchmarks'!$D$5,N(Q60)&gt;='KPI Benchmarks'!$D$6),"Watch","Cut"))))</f>
        <v/>
      </c>
      <c r="V60" s="27">
        <f>IF(U60="WINNER",IF(N(L60)&gt;0,"Prospecting (ASC / interests)","Retargeting candidate"),IF(U60="Watch","Retest or retargeting","" ))</f>
        <v/>
      </c>
      <c r="W60" s="13" t="n"/>
    </row>
    <row r="61">
      <c r="A61" s="13" t="n"/>
      <c r="B61" s="13" t="n"/>
      <c r="C61" s="13" t="n"/>
      <c r="D61" s="13" t="n"/>
      <c r="E61" s="13" t="n"/>
      <c r="F61" s="13" t="n"/>
      <c r="G61" s="40" t="n"/>
      <c r="H61" s="35" t="n"/>
      <c r="I61" s="40" t="n"/>
      <c r="J61" s="40" t="n"/>
      <c r="K61" s="40" t="n"/>
      <c r="L61" s="40" t="n"/>
      <c r="M61" s="34" t="n"/>
      <c r="N61" s="36">
        <f>IFERROR(H61/G61*1000,"")</f>
        <v/>
      </c>
      <c r="O61" s="41">
        <f>IFERROR(I61/G61,"")</f>
        <v/>
      </c>
      <c r="P61" s="41">
        <f>IFERROR(J61/G61,"")</f>
        <v/>
      </c>
      <c r="Q61" s="42">
        <f>IFERROR(P61/O61,"")</f>
        <v/>
      </c>
      <c r="R61" s="43">
        <f>IFERROR(K61/J61,"")</f>
        <v/>
      </c>
      <c r="S61" s="37">
        <f>IFERROR(M61/H61,"")</f>
        <v/>
      </c>
      <c r="T61" s="27">
        <f>IF(G61="","",IF(G61&gt;='KPI Benchmarks'!$D$14,"Yes","No"))</f>
        <v/>
      </c>
      <c r="U61" s="44">
        <f>IF(G61="","",IF(T61="No","Running",IF(AND(N(O61)&gt;='KPI Benchmarks'!$D$5,N(Q61)&gt;='KPI Benchmarks'!$D$6,OR(N(L61)&gt;0,N(K61)&gt;0)),"WINNER",IF(AND(N(O61)&gt;='KPI Benchmarks'!$D$5,N(Q61)&gt;='KPI Benchmarks'!$D$6),"Watch","Cut"))))</f>
        <v/>
      </c>
      <c r="V61" s="27">
        <f>IF(U61="WINNER",IF(N(L61)&gt;0,"Prospecting (ASC / interests)","Retargeting candidate"),IF(U61="Watch","Retest or retargeting","" ))</f>
        <v/>
      </c>
      <c r="W61" s="13" t="n"/>
    </row>
    <row r="62">
      <c r="A62" s="13" t="n"/>
      <c r="B62" s="13" t="n"/>
      <c r="C62" s="13" t="n"/>
      <c r="D62" s="13" t="n"/>
      <c r="E62" s="13" t="n"/>
      <c r="F62" s="13" t="n"/>
      <c r="G62" s="40" t="n"/>
      <c r="H62" s="35" t="n"/>
      <c r="I62" s="40" t="n"/>
      <c r="J62" s="40" t="n"/>
      <c r="K62" s="40" t="n"/>
      <c r="L62" s="40" t="n"/>
      <c r="M62" s="34" t="n"/>
      <c r="N62" s="36">
        <f>IFERROR(H62/G62*1000,"")</f>
        <v/>
      </c>
      <c r="O62" s="41">
        <f>IFERROR(I62/G62,"")</f>
        <v/>
      </c>
      <c r="P62" s="41">
        <f>IFERROR(J62/G62,"")</f>
        <v/>
      </c>
      <c r="Q62" s="42">
        <f>IFERROR(P62/O62,"")</f>
        <v/>
      </c>
      <c r="R62" s="43">
        <f>IFERROR(K62/J62,"")</f>
        <v/>
      </c>
      <c r="S62" s="37">
        <f>IFERROR(M62/H62,"")</f>
        <v/>
      </c>
      <c r="T62" s="27">
        <f>IF(G62="","",IF(G62&gt;='KPI Benchmarks'!$D$14,"Yes","No"))</f>
        <v/>
      </c>
      <c r="U62" s="44">
        <f>IF(G62="","",IF(T62="No","Running",IF(AND(N(O62)&gt;='KPI Benchmarks'!$D$5,N(Q62)&gt;='KPI Benchmarks'!$D$6,OR(N(L62)&gt;0,N(K62)&gt;0)),"WINNER",IF(AND(N(O62)&gt;='KPI Benchmarks'!$D$5,N(Q62)&gt;='KPI Benchmarks'!$D$6),"Watch","Cut"))))</f>
        <v/>
      </c>
      <c r="V62" s="27">
        <f>IF(U62="WINNER",IF(N(L62)&gt;0,"Prospecting (ASC / interests)","Retargeting candidate"),IF(U62="Watch","Retest or retargeting","" ))</f>
        <v/>
      </c>
      <c r="W62" s="13" t="n"/>
    </row>
    <row r="63">
      <c r="A63" s="13" t="n"/>
      <c r="B63" s="13" t="n"/>
      <c r="C63" s="13" t="n"/>
      <c r="D63" s="13" t="n"/>
      <c r="E63" s="13" t="n"/>
      <c r="F63" s="13" t="n"/>
      <c r="G63" s="40" t="n"/>
      <c r="H63" s="35" t="n"/>
      <c r="I63" s="40" t="n"/>
      <c r="J63" s="40" t="n"/>
      <c r="K63" s="40" t="n"/>
      <c r="L63" s="40" t="n"/>
      <c r="M63" s="34" t="n"/>
      <c r="N63" s="36">
        <f>IFERROR(H63/G63*1000,"")</f>
        <v/>
      </c>
      <c r="O63" s="41">
        <f>IFERROR(I63/G63,"")</f>
        <v/>
      </c>
      <c r="P63" s="41">
        <f>IFERROR(J63/G63,"")</f>
        <v/>
      </c>
      <c r="Q63" s="42">
        <f>IFERROR(P63/O63,"")</f>
        <v/>
      </c>
      <c r="R63" s="43">
        <f>IFERROR(K63/J63,"")</f>
        <v/>
      </c>
      <c r="S63" s="37">
        <f>IFERROR(M63/H63,"")</f>
        <v/>
      </c>
      <c r="T63" s="27">
        <f>IF(G63="","",IF(G63&gt;='KPI Benchmarks'!$D$14,"Yes","No"))</f>
        <v/>
      </c>
      <c r="U63" s="44">
        <f>IF(G63="","",IF(T63="No","Running",IF(AND(N(O63)&gt;='KPI Benchmarks'!$D$5,N(Q63)&gt;='KPI Benchmarks'!$D$6,OR(N(L63)&gt;0,N(K63)&gt;0)),"WINNER",IF(AND(N(O63)&gt;='KPI Benchmarks'!$D$5,N(Q63)&gt;='KPI Benchmarks'!$D$6),"Watch","Cut"))))</f>
        <v/>
      </c>
      <c r="V63" s="27">
        <f>IF(U63="WINNER",IF(N(L63)&gt;0,"Prospecting (ASC / interests)","Retargeting candidate"),IF(U63="Watch","Retest or retargeting","" ))</f>
        <v/>
      </c>
      <c r="W63" s="13" t="n"/>
    </row>
    <row r="64">
      <c r="A64" s="13" t="n"/>
      <c r="B64" s="13" t="n"/>
      <c r="C64" s="13" t="n"/>
      <c r="D64" s="13" t="n"/>
      <c r="E64" s="13" t="n"/>
      <c r="F64" s="13" t="n"/>
      <c r="G64" s="40" t="n"/>
      <c r="H64" s="35" t="n"/>
      <c r="I64" s="40" t="n"/>
      <c r="J64" s="40" t="n"/>
      <c r="K64" s="40" t="n"/>
      <c r="L64" s="40" t="n"/>
      <c r="M64" s="34" t="n"/>
      <c r="N64" s="36">
        <f>IFERROR(H64/G64*1000,"")</f>
        <v/>
      </c>
      <c r="O64" s="41">
        <f>IFERROR(I64/G64,"")</f>
        <v/>
      </c>
      <c r="P64" s="41">
        <f>IFERROR(J64/G64,"")</f>
        <v/>
      </c>
      <c r="Q64" s="42">
        <f>IFERROR(P64/O64,"")</f>
        <v/>
      </c>
      <c r="R64" s="43">
        <f>IFERROR(K64/J64,"")</f>
        <v/>
      </c>
      <c r="S64" s="37">
        <f>IFERROR(M64/H64,"")</f>
        <v/>
      </c>
      <c r="T64" s="27">
        <f>IF(G64="","",IF(G64&gt;='KPI Benchmarks'!$D$14,"Yes","No"))</f>
        <v/>
      </c>
      <c r="U64" s="44">
        <f>IF(G64="","",IF(T64="No","Running",IF(AND(N(O64)&gt;='KPI Benchmarks'!$D$5,N(Q64)&gt;='KPI Benchmarks'!$D$6,OR(N(L64)&gt;0,N(K64)&gt;0)),"WINNER",IF(AND(N(O64)&gt;='KPI Benchmarks'!$D$5,N(Q64)&gt;='KPI Benchmarks'!$D$6),"Watch","Cut"))))</f>
        <v/>
      </c>
      <c r="V64" s="27">
        <f>IF(U64="WINNER",IF(N(L64)&gt;0,"Prospecting (ASC / interests)","Retargeting candidate"),IF(U64="Watch","Retest or retargeting","" ))</f>
        <v/>
      </c>
      <c r="W64" s="13" t="n"/>
    </row>
    <row r="65">
      <c r="A65" s="13" t="n"/>
      <c r="B65" s="13" t="n"/>
      <c r="C65" s="13" t="n"/>
      <c r="D65" s="13" t="n"/>
      <c r="E65" s="13" t="n"/>
      <c r="F65" s="13" t="n"/>
      <c r="G65" s="40" t="n"/>
      <c r="H65" s="35" t="n"/>
      <c r="I65" s="40" t="n"/>
      <c r="J65" s="40" t="n"/>
      <c r="K65" s="40" t="n"/>
      <c r="L65" s="40" t="n"/>
      <c r="M65" s="34" t="n"/>
      <c r="N65" s="36">
        <f>IFERROR(H65/G65*1000,"")</f>
        <v/>
      </c>
      <c r="O65" s="41">
        <f>IFERROR(I65/G65,"")</f>
        <v/>
      </c>
      <c r="P65" s="41">
        <f>IFERROR(J65/G65,"")</f>
        <v/>
      </c>
      <c r="Q65" s="42">
        <f>IFERROR(P65/O65,"")</f>
        <v/>
      </c>
      <c r="R65" s="43">
        <f>IFERROR(K65/J65,"")</f>
        <v/>
      </c>
      <c r="S65" s="37">
        <f>IFERROR(M65/H65,"")</f>
        <v/>
      </c>
      <c r="T65" s="27">
        <f>IF(G65="","",IF(G65&gt;='KPI Benchmarks'!$D$14,"Yes","No"))</f>
        <v/>
      </c>
      <c r="U65" s="44">
        <f>IF(G65="","",IF(T65="No","Running",IF(AND(N(O65)&gt;='KPI Benchmarks'!$D$5,N(Q65)&gt;='KPI Benchmarks'!$D$6,OR(N(L65)&gt;0,N(K65)&gt;0)),"WINNER",IF(AND(N(O65)&gt;='KPI Benchmarks'!$D$5,N(Q65)&gt;='KPI Benchmarks'!$D$6),"Watch","Cut"))))</f>
        <v/>
      </c>
      <c r="V65" s="27">
        <f>IF(U65="WINNER",IF(N(L65)&gt;0,"Prospecting (ASC / interests)","Retargeting candidate"),IF(U65="Watch","Retest or retargeting","" ))</f>
        <v/>
      </c>
      <c r="W65" s="13" t="n"/>
    </row>
    <row r="66">
      <c r="A66" s="13" t="n"/>
      <c r="B66" s="13" t="n"/>
      <c r="C66" s="13" t="n"/>
      <c r="D66" s="13" t="n"/>
      <c r="E66" s="13" t="n"/>
      <c r="F66" s="13" t="n"/>
      <c r="G66" s="40" t="n"/>
      <c r="H66" s="35" t="n"/>
      <c r="I66" s="40" t="n"/>
      <c r="J66" s="40" t="n"/>
      <c r="K66" s="40" t="n"/>
      <c r="L66" s="40" t="n"/>
      <c r="M66" s="34" t="n"/>
      <c r="N66" s="36">
        <f>IFERROR(H66/G66*1000,"")</f>
        <v/>
      </c>
      <c r="O66" s="41">
        <f>IFERROR(I66/G66,"")</f>
        <v/>
      </c>
      <c r="P66" s="41">
        <f>IFERROR(J66/G66,"")</f>
        <v/>
      </c>
      <c r="Q66" s="42">
        <f>IFERROR(P66/O66,"")</f>
        <v/>
      </c>
      <c r="R66" s="43">
        <f>IFERROR(K66/J66,"")</f>
        <v/>
      </c>
      <c r="S66" s="37">
        <f>IFERROR(M66/H66,"")</f>
        <v/>
      </c>
      <c r="T66" s="27">
        <f>IF(G66="","",IF(G66&gt;='KPI Benchmarks'!$D$14,"Yes","No"))</f>
        <v/>
      </c>
      <c r="U66" s="44">
        <f>IF(G66="","",IF(T66="No","Running",IF(AND(N(O66)&gt;='KPI Benchmarks'!$D$5,N(Q66)&gt;='KPI Benchmarks'!$D$6,OR(N(L66)&gt;0,N(K66)&gt;0)),"WINNER",IF(AND(N(O66)&gt;='KPI Benchmarks'!$D$5,N(Q66)&gt;='KPI Benchmarks'!$D$6),"Watch","Cut"))))</f>
        <v/>
      </c>
      <c r="V66" s="27">
        <f>IF(U66="WINNER",IF(N(L66)&gt;0,"Prospecting (ASC / interests)","Retargeting candidate"),IF(U66="Watch","Retest or retargeting","" ))</f>
        <v/>
      </c>
      <c r="W66" s="13" t="n"/>
    </row>
    <row r="67">
      <c r="A67" s="13" t="n"/>
      <c r="B67" s="13" t="n"/>
      <c r="C67" s="13" t="n"/>
      <c r="D67" s="13" t="n"/>
      <c r="E67" s="13" t="n"/>
      <c r="F67" s="13" t="n"/>
      <c r="G67" s="40" t="n"/>
      <c r="H67" s="35" t="n"/>
      <c r="I67" s="40" t="n"/>
      <c r="J67" s="40" t="n"/>
      <c r="K67" s="40" t="n"/>
      <c r="L67" s="40" t="n"/>
      <c r="M67" s="34" t="n"/>
      <c r="N67" s="36">
        <f>IFERROR(H67/G67*1000,"")</f>
        <v/>
      </c>
      <c r="O67" s="41">
        <f>IFERROR(I67/G67,"")</f>
        <v/>
      </c>
      <c r="P67" s="41">
        <f>IFERROR(J67/G67,"")</f>
        <v/>
      </c>
      <c r="Q67" s="42">
        <f>IFERROR(P67/O67,"")</f>
        <v/>
      </c>
      <c r="R67" s="43">
        <f>IFERROR(K67/J67,"")</f>
        <v/>
      </c>
      <c r="S67" s="37">
        <f>IFERROR(M67/H67,"")</f>
        <v/>
      </c>
      <c r="T67" s="27">
        <f>IF(G67="","",IF(G67&gt;='KPI Benchmarks'!$D$14,"Yes","No"))</f>
        <v/>
      </c>
      <c r="U67" s="44">
        <f>IF(G67="","",IF(T67="No","Running",IF(AND(N(O67)&gt;='KPI Benchmarks'!$D$5,N(Q67)&gt;='KPI Benchmarks'!$D$6,OR(N(L67)&gt;0,N(K67)&gt;0)),"WINNER",IF(AND(N(O67)&gt;='KPI Benchmarks'!$D$5,N(Q67)&gt;='KPI Benchmarks'!$D$6),"Watch","Cut"))))</f>
        <v/>
      </c>
      <c r="V67" s="27">
        <f>IF(U67="WINNER",IF(N(L67)&gt;0,"Prospecting (ASC / interests)","Retargeting candidate"),IF(U67="Watch","Retest or retargeting","" ))</f>
        <v/>
      </c>
      <c r="W67" s="13" t="n"/>
    </row>
    <row r="68">
      <c r="A68" s="13" t="n"/>
      <c r="B68" s="13" t="n"/>
      <c r="C68" s="13" t="n"/>
      <c r="D68" s="13" t="n"/>
      <c r="E68" s="13" t="n"/>
      <c r="F68" s="13" t="n"/>
      <c r="G68" s="40" t="n"/>
      <c r="H68" s="35" t="n"/>
      <c r="I68" s="40" t="n"/>
      <c r="J68" s="40" t="n"/>
      <c r="K68" s="40" t="n"/>
      <c r="L68" s="40" t="n"/>
      <c r="M68" s="34" t="n"/>
      <c r="N68" s="36">
        <f>IFERROR(H68/G68*1000,"")</f>
        <v/>
      </c>
      <c r="O68" s="41">
        <f>IFERROR(I68/G68,"")</f>
        <v/>
      </c>
      <c r="P68" s="41">
        <f>IFERROR(J68/G68,"")</f>
        <v/>
      </c>
      <c r="Q68" s="42">
        <f>IFERROR(P68/O68,"")</f>
        <v/>
      </c>
      <c r="R68" s="43">
        <f>IFERROR(K68/J68,"")</f>
        <v/>
      </c>
      <c r="S68" s="37">
        <f>IFERROR(M68/H68,"")</f>
        <v/>
      </c>
      <c r="T68" s="27">
        <f>IF(G68="","",IF(G68&gt;='KPI Benchmarks'!$D$14,"Yes","No"))</f>
        <v/>
      </c>
      <c r="U68" s="44">
        <f>IF(G68="","",IF(T68="No","Running",IF(AND(N(O68)&gt;='KPI Benchmarks'!$D$5,N(Q68)&gt;='KPI Benchmarks'!$D$6,OR(N(L68)&gt;0,N(K68)&gt;0)),"WINNER",IF(AND(N(O68)&gt;='KPI Benchmarks'!$D$5,N(Q68)&gt;='KPI Benchmarks'!$D$6),"Watch","Cut"))))</f>
        <v/>
      </c>
      <c r="V68" s="27">
        <f>IF(U68="WINNER",IF(N(L68)&gt;0,"Prospecting (ASC / interests)","Retargeting candidate"),IF(U68="Watch","Retest or retargeting","" ))</f>
        <v/>
      </c>
      <c r="W68" s="13" t="n"/>
    </row>
    <row r="69">
      <c r="A69" s="13" t="n"/>
      <c r="B69" s="13" t="n"/>
      <c r="C69" s="13" t="n"/>
      <c r="D69" s="13" t="n"/>
      <c r="E69" s="13" t="n"/>
      <c r="F69" s="13" t="n"/>
      <c r="G69" s="40" t="n"/>
      <c r="H69" s="35" t="n"/>
      <c r="I69" s="40" t="n"/>
      <c r="J69" s="40" t="n"/>
      <c r="K69" s="40" t="n"/>
      <c r="L69" s="40" t="n"/>
      <c r="M69" s="34" t="n"/>
      <c r="N69" s="36">
        <f>IFERROR(H69/G69*1000,"")</f>
        <v/>
      </c>
      <c r="O69" s="41">
        <f>IFERROR(I69/G69,"")</f>
        <v/>
      </c>
      <c r="P69" s="41">
        <f>IFERROR(J69/G69,"")</f>
        <v/>
      </c>
      <c r="Q69" s="42">
        <f>IFERROR(P69/O69,"")</f>
        <v/>
      </c>
      <c r="R69" s="43">
        <f>IFERROR(K69/J69,"")</f>
        <v/>
      </c>
      <c r="S69" s="37">
        <f>IFERROR(M69/H69,"")</f>
        <v/>
      </c>
      <c r="T69" s="27">
        <f>IF(G69="","",IF(G69&gt;='KPI Benchmarks'!$D$14,"Yes","No"))</f>
        <v/>
      </c>
      <c r="U69" s="44">
        <f>IF(G69="","",IF(T69="No","Running",IF(AND(N(O69)&gt;='KPI Benchmarks'!$D$5,N(Q69)&gt;='KPI Benchmarks'!$D$6,OR(N(L69)&gt;0,N(K69)&gt;0)),"WINNER",IF(AND(N(O69)&gt;='KPI Benchmarks'!$D$5,N(Q69)&gt;='KPI Benchmarks'!$D$6),"Watch","Cut"))))</f>
        <v/>
      </c>
      <c r="V69" s="27">
        <f>IF(U69="WINNER",IF(N(L69)&gt;0,"Prospecting (ASC / interests)","Retargeting candidate"),IF(U69="Watch","Retest or retargeting","" ))</f>
        <v/>
      </c>
      <c r="W69" s="13" t="n"/>
    </row>
    <row r="70">
      <c r="A70" s="13" t="n"/>
      <c r="B70" s="13" t="n"/>
      <c r="C70" s="13" t="n"/>
      <c r="D70" s="13" t="n"/>
      <c r="E70" s="13" t="n"/>
      <c r="F70" s="13" t="n"/>
      <c r="G70" s="40" t="n"/>
      <c r="H70" s="35" t="n"/>
      <c r="I70" s="40" t="n"/>
      <c r="J70" s="40" t="n"/>
      <c r="K70" s="40" t="n"/>
      <c r="L70" s="40" t="n"/>
      <c r="M70" s="34" t="n"/>
      <c r="N70" s="36">
        <f>IFERROR(H70/G70*1000,"")</f>
        <v/>
      </c>
      <c r="O70" s="41">
        <f>IFERROR(I70/G70,"")</f>
        <v/>
      </c>
      <c r="P70" s="41">
        <f>IFERROR(J70/G70,"")</f>
        <v/>
      </c>
      <c r="Q70" s="42">
        <f>IFERROR(P70/O70,"")</f>
        <v/>
      </c>
      <c r="R70" s="43">
        <f>IFERROR(K70/J70,"")</f>
        <v/>
      </c>
      <c r="S70" s="37">
        <f>IFERROR(M70/H70,"")</f>
        <v/>
      </c>
      <c r="T70" s="27">
        <f>IF(G70="","",IF(G70&gt;='KPI Benchmarks'!$D$14,"Yes","No"))</f>
        <v/>
      </c>
      <c r="U70" s="44">
        <f>IF(G70="","",IF(T70="No","Running",IF(AND(N(O70)&gt;='KPI Benchmarks'!$D$5,N(Q70)&gt;='KPI Benchmarks'!$D$6,OR(N(L70)&gt;0,N(K70)&gt;0)),"WINNER",IF(AND(N(O70)&gt;='KPI Benchmarks'!$D$5,N(Q70)&gt;='KPI Benchmarks'!$D$6),"Watch","Cut"))))</f>
        <v/>
      </c>
      <c r="V70" s="27">
        <f>IF(U70="WINNER",IF(N(L70)&gt;0,"Prospecting (ASC / interests)","Retargeting candidate"),IF(U70="Watch","Retest or retargeting","" ))</f>
        <v/>
      </c>
      <c r="W70" s="13" t="n"/>
    </row>
    <row r="71">
      <c r="A71" s="13" t="n"/>
      <c r="B71" s="13" t="n"/>
      <c r="C71" s="13" t="n"/>
      <c r="D71" s="13" t="n"/>
      <c r="E71" s="13" t="n"/>
      <c r="F71" s="13" t="n"/>
      <c r="G71" s="40" t="n"/>
      <c r="H71" s="35" t="n"/>
      <c r="I71" s="40" t="n"/>
      <c r="J71" s="40" t="n"/>
      <c r="K71" s="40" t="n"/>
      <c r="L71" s="40" t="n"/>
      <c r="M71" s="34" t="n"/>
      <c r="N71" s="36">
        <f>IFERROR(H71/G71*1000,"")</f>
        <v/>
      </c>
      <c r="O71" s="41">
        <f>IFERROR(I71/G71,"")</f>
        <v/>
      </c>
      <c r="P71" s="41">
        <f>IFERROR(J71/G71,"")</f>
        <v/>
      </c>
      <c r="Q71" s="42">
        <f>IFERROR(P71/O71,"")</f>
        <v/>
      </c>
      <c r="R71" s="43">
        <f>IFERROR(K71/J71,"")</f>
        <v/>
      </c>
      <c r="S71" s="37">
        <f>IFERROR(M71/H71,"")</f>
        <v/>
      </c>
      <c r="T71" s="27">
        <f>IF(G71="","",IF(G71&gt;='KPI Benchmarks'!$D$14,"Yes","No"))</f>
        <v/>
      </c>
      <c r="U71" s="44">
        <f>IF(G71="","",IF(T71="No","Running",IF(AND(N(O71)&gt;='KPI Benchmarks'!$D$5,N(Q71)&gt;='KPI Benchmarks'!$D$6,OR(N(L71)&gt;0,N(K71)&gt;0)),"WINNER",IF(AND(N(O71)&gt;='KPI Benchmarks'!$D$5,N(Q71)&gt;='KPI Benchmarks'!$D$6),"Watch","Cut"))))</f>
        <v/>
      </c>
      <c r="V71" s="27">
        <f>IF(U71="WINNER",IF(N(L71)&gt;0,"Prospecting (ASC / interests)","Retargeting candidate"),IF(U71="Watch","Retest or retargeting","" ))</f>
        <v/>
      </c>
      <c r="W71" s="13" t="n"/>
    </row>
    <row r="72">
      <c r="A72" s="13" t="n"/>
      <c r="B72" s="13" t="n"/>
      <c r="C72" s="13" t="n"/>
      <c r="D72" s="13" t="n"/>
      <c r="E72" s="13" t="n"/>
      <c r="F72" s="13" t="n"/>
      <c r="G72" s="40" t="n"/>
      <c r="H72" s="35" t="n"/>
      <c r="I72" s="40" t="n"/>
      <c r="J72" s="40" t="n"/>
      <c r="K72" s="40" t="n"/>
      <c r="L72" s="40" t="n"/>
      <c r="M72" s="34" t="n"/>
      <c r="N72" s="36">
        <f>IFERROR(H72/G72*1000,"")</f>
        <v/>
      </c>
      <c r="O72" s="41">
        <f>IFERROR(I72/G72,"")</f>
        <v/>
      </c>
      <c r="P72" s="41">
        <f>IFERROR(J72/G72,"")</f>
        <v/>
      </c>
      <c r="Q72" s="42">
        <f>IFERROR(P72/O72,"")</f>
        <v/>
      </c>
      <c r="R72" s="43">
        <f>IFERROR(K72/J72,"")</f>
        <v/>
      </c>
      <c r="S72" s="37">
        <f>IFERROR(M72/H72,"")</f>
        <v/>
      </c>
      <c r="T72" s="27">
        <f>IF(G72="","",IF(G72&gt;='KPI Benchmarks'!$D$14,"Yes","No"))</f>
        <v/>
      </c>
      <c r="U72" s="44">
        <f>IF(G72="","",IF(T72="No","Running",IF(AND(N(O72)&gt;='KPI Benchmarks'!$D$5,N(Q72)&gt;='KPI Benchmarks'!$D$6,OR(N(L72)&gt;0,N(K72)&gt;0)),"WINNER",IF(AND(N(O72)&gt;='KPI Benchmarks'!$D$5,N(Q72)&gt;='KPI Benchmarks'!$D$6),"Watch","Cut"))))</f>
        <v/>
      </c>
      <c r="V72" s="27">
        <f>IF(U72="WINNER",IF(N(L72)&gt;0,"Prospecting (ASC / interests)","Retargeting candidate"),IF(U72="Watch","Retest or retargeting","" ))</f>
        <v/>
      </c>
      <c r="W72" s="13" t="n"/>
    </row>
    <row r="73">
      <c r="A73" s="13" t="n"/>
      <c r="B73" s="13" t="n"/>
      <c r="C73" s="13" t="n"/>
      <c r="D73" s="13" t="n"/>
      <c r="E73" s="13" t="n"/>
      <c r="F73" s="13" t="n"/>
      <c r="G73" s="40" t="n"/>
      <c r="H73" s="35" t="n"/>
      <c r="I73" s="40" t="n"/>
      <c r="J73" s="40" t="n"/>
      <c r="K73" s="40" t="n"/>
      <c r="L73" s="40" t="n"/>
      <c r="M73" s="34" t="n"/>
      <c r="N73" s="36">
        <f>IFERROR(H73/G73*1000,"")</f>
        <v/>
      </c>
      <c r="O73" s="41">
        <f>IFERROR(I73/G73,"")</f>
        <v/>
      </c>
      <c r="P73" s="41">
        <f>IFERROR(J73/G73,"")</f>
        <v/>
      </c>
      <c r="Q73" s="42">
        <f>IFERROR(P73/O73,"")</f>
        <v/>
      </c>
      <c r="R73" s="43">
        <f>IFERROR(K73/J73,"")</f>
        <v/>
      </c>
      <c r="S73" s="37">
        <f>IFERROR(M73/H73,"")</f>
        <v/>
      </c>
      <c r="T73" s="27">
        <f>IF(G73="","",IF(G73&gt;='KPI Benchmarks'!$D$14,"Yes","No"))</f>
        <v/>
      </c>
      <c r="U73" s="44">
        <f>IF(G73="","",IF(T73="No","Running",IF(AND(N(O73)&gt;='KPI Benchmarks'!$D$5,N(Q73)&gt;='KPI Benchmarks'!$D$6,OR(N(L73)&gt;0,N(K73)&gt;0)),"WINNER",IF(AND(N(O73)&gt;='KPI Benchmarks'!$D$5,N(Q73)&gt;='KPI Benchmarks'!$D$6),"Watch","Cut"))))</f>
        <v/>
      </c>
      <c r="V73" s="27">
        <f>IF(U73="WINNER",IF(N(L73)&gt;0,"Prospecting (ASC / interests)","Retargeting candidate"),IF(U73="Watch","Retest or retargeting","" ))</f>
        <v/>
      </c>
      <c r="W73" s="13" t="n"/>
    </row>
    <row r="74">
      <c r="A74" s="13" t="n"/>
      <c r="B74" s="13" t="n"/>
      <c r="C74" s="13" t="n"/>
      <c r="D74" s="13" t="n"/>
      <c r="E74" s="13" t="n"/>
      <c r="F74" s="13" t="n"/>
      <c r="G74" s="40" t="n"/>
      <c r="H74" s="35" t="n"/>
      <c r="I74" s="40" t="n"/>
      <c r="J74" s="40" t="n"/>
      <c r="K74" s="40" t="n"/>
      <c r="L74" s="40" t="n"/>
      <c r="M74" s="34" t="n"/>
      <c r="N74" s="36">
        <f>IFERROR(H74/G74*1000,"")</f>
        <v/>
      </c>
      <c r="O74" s="41">
        <f>IFERROR(I74/G74,"")</f>
        <v/>
      </c>
      <c r="P74" s="41">
        <f>IFERROR(J74/G74,"")</f>
        <v/>
      </c>
      <c r="Q74" s="42">
        <f>IFERROR(P74/O74,"")</f>
        <v/>
      </c>
      <c r="R74" s="43">
        <f>IFERROR(K74/J74,"")</f>
        <v/>
      </c>
      <c r="S74" s="37">
        <f>IFERROR(M74/H74,"")</f>
        <v/>
      </c>
      <c r="T74" s="27">
        <f>IF(G74="","",IF(G74&gt;='KPI Benchmarks'!$D$14,"Yes","No"))</f>
        <v/>
      </c>
      <c r="U74" s="44">
        <f>IF(G74="","",IF(T74="No","Running",IF(AND(N(O74)&gt;='KPI Benchmarks'!$D$5,N(Q74)&gt;='KPI Benchmarks'!$D$6,OR(N(L74)&gt;0,N(K74)&gt;0)),"WINNER",IF(AND(N(O74)&gt;='KPI Benchmarks'!$D$5,N(Q74)&gt;='KPI Benchmarks'!$D$6),"Watch","Cut"))))</f>
        <v/>
      </c>
      <c r="V74" s="27">
        <f>IF(U74="WINNER",IF(N(L74)&gt;0,"Prospecting (ASC / interests)","Retargeting candidate"),IF(U74="Watch","Retest or retargeting","" ))</f>
        <v/>
      </c>
      <c r="W74" s="13" t="n"/>
    </row>
    <row r="75">
      <c r="A75" s="13" t="n"/>
      <c r="B75" s="13" t="n"/>
      <c r="C75" s="13" t="n"/>
      <c r="D75" s="13" t="n"/>
      <c r="E75" s="13" t="n"/>
      <c r="F75" s="13" t="n"/>
      <c r="G75" s="40" t="n"/>
      <c r="H75" s="35" t="n"/>
      <c r="I75" s="40" t="n"/>
      <c r="J75" s="40" t="n"/>
      <c r="K75" s="40" t="n"/>
      <c r="L75" s="40" t="n"/>
      <c r="M75" s="34" t="n"/>
      <c r="N75" s="36">
        <f>IFERROR(H75/G75*1000,"")</f>
        <v/>
      </c>
      <c r="O75" s="41">
        <f>IFERROR(I75/G75,"")</f>
        <v/>
      </c>
      <c r="P75" s="41">
        <f>IFERROR(J75/G75,"")</f>
        <v/>
      </c>
      <c r="Q75" s="42">
        <f>IFERROR(P75/O75,"")</f>
        <v/>
      </c>
      <c r="R75" s="43">
        <f>IFERROR(K75/J75,"")</f>
        <v/>
      </c>
      <c r="S75" s="37">
        <f>IFERROR(M75/H75,"")</f>
        <v/>
      </c>
      <c r="T75" s="27">
        <f>IF(G75="","",IF(G75&gt;='KPI Benchmarks'!$D$14,"Yes","No"))</f>
        <v/>
      </c>
      <c r="U75" s="44">
        <f>IF(G75="","",IF(T75="No","Running",IF(AND(N(O75)&gt;='KPI Benchmarks'!$D$5,N(Q75)&gt;='KPI Benchmarks'!$D$6,OR(N(L75)&gt;0,N(K75)&gt;0)),"WINNER",IF(AND(N(O75)&gt;='KPI Benchmarks'!$D$5,N(Q75)&gt;='KPI Benchmarks'!$D$6),"Watch","Cut"))))</f>
        <v/>
      </c>
      <c r="V75" s="27">
        <f>IF(U75="WINNER",IF(N(L75)&gt;0,"Prospecting (ASC / interests)","Retargeting candidate"),IF(U75="Watch","Retest or retargeting","" ))</f>
        <v/>
      </c>
      <c r="W75" s="13" t="n"/>
    </row>
    <row r="76">
      <c r="A76" s="13" t="n"/>
      <c r="B76" s="13" t="n"/>
      <c r="C76" s="13" t="n"/>
      <c r="D76" s="13" t="n"/>
      <c r="E76" s="13" t="n"/>
      <c r="F76" s="13" t="n"/>
      <c r="G76" s="40" t="n"/>
      <c r="H76" s="35" t="n"/>
      <c r="I76" s="40" t="n"/>
      <c r="J76" s="40" t="n"/>
      <c r="K76" s="40" t="n"/>
      <c r="L76" s="40" t="n"/>
      <c r="M76" s="34" t="n"/>
      <c r="N76" s="36">
        <f>IFERROR(H76/G76*1000,"")</f>
        <v/>
      </c>
      <c r="O76" s="41">
        <f>IFERROR(I76/G76,"")</f>
        <v/>
      </c>
      <c r="P76" s="41">
        <f>IFERROR(J76/G76,"")</f>
        <v/>
      </c>
      <c r="Q76" s="42">
        <f>IFERROR(P76/O76,"")</f>
        <v/>
      </c>
      <c r="R76" s="43">
        <f>IFERROR(K76/J76,"")</f>
        <v/>
      </c>
      <c r="S76" s="37">
        <f>IFERROR(M76/H76,"")</f>
        <v/>
      </c>
      <c r="T76" s="27">
        <f>IF(G76="","",IF(G76&gt;='KPI Benchmarks'!$D$14,"Yes","No"))</f>
        <v/>
      </c>
      <c r="U76" s="44">
        <f>IF(G76="","",IF(T76="No","Running",IF(AND(N(O76)&gt;='KPI Benchmarks'!$D$5,N(Q76)&gt;='KPI Benchmarks'!$D$6,OR(N(L76)&gt;0,N(K76)&gt;0)),"WINNER",IF(AND(N(O76)&gt;='KPI Benchmarks'!$D$5,N(Q76)&gt;='KPI Benchmarks'!$D$6),"Watch","Cut"))))</f>
        <v/>
      </c>
      <c r="V76" s="27">
        <f>IF(U76="WINNER",IF(N(L76)&gt;0,"Prospecting (ASC / interests)","Retargeting candidate"),IF(U76="Watch","Retest or retargeting","" ))</f>
        <v/>
      </c>
      <c r="W76" s="13" t="n"/>
    </row>
    <row r="77">
      <c r="A77" s="13" t="n"/>
      <c r="B77" s="13" t="n"/>
      <c r="C77" s="13" t="n"/>
      <c r="D77" s="13" t="n"/>
      <c r="E77" s="13" t="n"/>
      <c r="F77" s="13" t="n"/>
      <c r="G77" s="40" t="n"/>
      <c r="H77" s="35" t="n"/>
      <c r="I77" s="40" t="n"/>
      <c r="J77" s="40" t="n"/>
      <c r="K77" s="40" t="n"/>
      <c r="L77" s="40" t="n"/>
      <c r="M77" s="34" t="n"/>
      <c r="N77" s="36">
        <f>IFERROR(H77/G77*1000,"")</f>
        <v/>
      </c>
      <c r="O77" s="41">
        <f>IFERROR(I77/G77,"")</f>
        <v/>
      </c>
      <c r="P77" s="41">
        <f>IFERROR(J77/G77,"")</f>
        <v/>
      </c>
      <c r="Q77" s="42">
        <f>IFERROR(P77/O77,"")</f>
        <v/>
      </c>
      <c r="R77" s="43">
        <f>IFERROR(K77/J77,"")</f>
        <v/>
      </c>
      <c r="S77" s="37">
        <f>IFERROR(M77/H77,"")</f>
        <v/>
      </c>
      <c r="T77" s="27">
        <f>IF(G77="","",IF(G77&gt;='KPI Benchmarks'!$D$14,"Yes","No"))</f>
        <v/>
      </c>
      <c r="U77" s="44">
        <f>IF(G77="","",IF(T77="No","Running",IF(AND(N(O77)&gt;='KPI Benchmarks'!$D$5,N(Q77)&gt;='KPI Benchmarks'!$D$6,OR(N(L77)&gt;0,N(K77)&gt;0)),"WINNER",IF(AND(N(O77)&gt;='KPI Benchmarks'!$D$5,N(Q77)&gt;='KPI Benchmarks'!$D$6),"Watch","Cut"))))</f>
        <v/>
      </c>
      <c r="V77" s="27">
        <f>IF(U77="WINNER",IF(N(L77)&gt;0,"Prospecting (ASC / interests)","Retargeting candidate"),IF(U77="Watch","Retest or retargeting","" ))</f>
        <v/>
      </c>
      <c r="W77" s="13" t="n"/>
    </row>
    <row r="78">
      <c r="A78" s="13" t="n"/>
      <c r="B78" s="13" t="n"/>
      <c r="C78" s="13" t="n"/>
      <c r="D78" s="13" t="n"/>
      <c r="E78" s="13" t="n"/>
      <c r="F78" s="13" t="n"/>
      <c r="G78" s="40" t="n"/>
      <c r="H78" s="35" t="n"/>
      <c r="I78" s="40" t="n"/>
      <c r="J78" s="40" t="n"/>
      <c r="K78" s="40" t="n"/>
      <c r="L78" s="40" t="n"/>
      <c r="M78" s="34" t="n"/>
      <c r="N78" s="36">
        <f>IFERROR(H78/G78*1000,"")</f>
        <v/>
      </c>
      <c r="O78" s="41">
        <f>IFERROR(I78/G78,"")</f>
        <v/>
      </c>
      <c r="P78" s="41">
        <f>IFERROR(J78/G78,"")</f>
        <v/>
      </c>
      <c r="Q78" s="42">
        <f>IFERROR(P78/O78,"")</f>
        <v/>
      </c>
      <c r="R78" s="43">
        <f>IFERROR(K78/J78,"")</f>
        <v/>
      </c>
      <c r="S78" s="37">
        <f>IFERROR(M78/H78,"")</f>
        <v/>
      </c>
      <c r="T78" s="27">
        <f>IF(G78="","",IF(G78&gt;='KPI Benchmarks'!$D$14,"Yes","No"))</f>
        <v/>
      </c>
      <c r="U78" s="44">
        <f>IF(G78="","",IF(T78="No","Running",IF(AND(N(O78)&gt;='KPI Benchmarks'!$D$5,N(Q78)&gt;='KPI Benchmarks'!$D$6,OR(N(L78)&gt;0,N(K78)&gt;0)),"WINNER",IF(AND(N(O78)&gt;='KPI Benchmarks'!$D$5,N(Q78)&gt;='KPI Benchmarks'!$D$6),"Watch","Cut"))))</f>
        <v/>
      </c>
      <c r="V78" s="27">
        <f>IF(U78="WINNER",IF(N(L78)&gt;0,"Prospecting (ASC / interests)","Retargeting candidate"),IF(U78="Watch","Retest or retargeting","" ))</f>
        <v/>
      </c>
      <c r="W78" s="13" t="n"/>
    </row>
    <row r="79">
      <c r="A79" s="13" t="n"/>
      <c r="B79" s="13" t="n"/>
      <c r="C79" s="13" t="n"/>
      <c r="D79" s="13" t="n"/>
      <c r="E79" s="13" t="n"/>
      <c r="F79" s="13" t="n"/>
      <c r="G79" s="40" t="n"/>
      <c r="H79" s="35" t="n"/>
      <c r="I79" s="40" t="n"/>
      <c r="J79" s="40" t="n"/>
      <c r="K79" s="40" t="n"/>
      <c r="L79" s="40" t="n"/>
      <c r="M79" s="34" t="n"/>
      <c r="N79" s="36">
        <f>IFERROR(H79/G79*1000,"")</f>
        <v/>
      </c>
      <c r="O79" s="41">
        <f>IFERROR(I79/G79,"")</f>
        <v/>
      </c>
      <c r="P79" s="41">
        <f>IFERROR(J79/G79,"")</f>
        <v/>
      </c>
      <c r="Q79" s="42">
        <f>IFERROR(P79/O79,"")</f>
        <v/>
      </c>
      <c r="R79" s="43">
        <f>IFERROR(K79/J79,"")</f>
        <v/>
      </c>
      <c r="S79" s="37">
        <f>IFERROR(M79/H79,"")</f>
        <v/>
      </c>
      <c r="T79" s="27">
        <f>IF(G79="","",IF(G79&gt;='KPI Benchmarks'!$D$14,"Yes","No"))</f>
        <v/>
      </c>
      <c r="U79" s="44">
        <f>IF(G79="","",IF(T79="No","Running",IF(AND(N(O79)&gt;='KPI Benchmarks'!$D$5,N(Q79)&gt;='KPI Benchmarks'!$D$6,OR(N(L79)&gt;0,N(K79)&gt;0)),"WINNER",IF(AND(N(O79)&gt;='KPI Benchmarks'!$D$5,N(Q79)&gt;='KPI Benchmarks'!$D$6),"Watch","Cut"))))</f>
        <v/>
      </c>
      <c r="V79" s="27">
        <f>IF(U79="WINNER",IF(N(L79)&gt;0,"Prospecting (ASC / interests)","Retargeting candidate"),IF(U79="Watch","Retest or retargeting","" ))</f>
        <v/>
      </c>
      <c r="W79" s="13" t="n"/>
    </row>
    <row r="80">
      <c r="A80" s="13" t="n"/>
      <c r="B80" s="13" t="n"/>
      <c r="C80" s="13" t="n"/>
      <c r="D80" s="13" t="n"/>
      <c r="E80" s="13" t="n"/>
      <c r="F80" s="13" t="n"/>
      <c r="G80" s="40" t="n"/>
      <c r="H80" s="35" t="n"/>
      <c r="I80" s="40" t="n"/>
      <c r="J80" s="40" t="n"/>
      <c r="K80" s="40" t="n"/>
      <c r="L80" s="40" t="n"/>
      <c r="M80" s="34" t="n"/>
      <c r="N80" s="36">
        <f>IFERROR(H80/G80*1000,"")</f>
        <v/>
      </c>
      <c r="O80" s="41">
        <f>IFERROR(I80/G80,"")</f>
        <v/>
      </c>
      <c r="P80" s="41">
        <f>IFERROR(J80/G80,"")</f>
        <v/>
      </c>
      <c r="Q80" s="42">
        <f>IFERROR(P80/O80,"")</f>
        <v/>
      </c>
      <c r="R80" s="43">
        <f>IFERROR(K80/J80,"")</f>
        <v/>
      </c>
      <c r="S80" s="37">
        <f>IFERROR(M80/H80,"")</f>
        <v/>
      </c>
      <c r="T80" s="27">
        <f>IF(G80="","",IF(G80&gt;='KPI Benchmarks'!$D$14,"Yes","No"))</f>
        <v/>
      </c>
      <c r="U80" s="44">
        <f>IF(G80="","",IF(T80="No","Running",IF(AND(N(O80)&gt;='KPI Benchmarks'!$D$5,N(Q80)&gt;='KPI Benchmarks'!$D$6,OR(N(L80)&gt;0,N(K80)&gt;0)),"WINNER",IF(AND(N(O80)&gt;='KPI Benchmarks'!$D$5,N(Q80)&gt;='KPI Benchmarks'!$D$6),"Watch","Cut"))))</f>
        <v/>
      </c>
      <c r="V80" s="27">
        <f>IF(U80="WINNER",IF(N(L80)&gt;0,"Prospecting (ASC / interests)","Retargeting candidate"),IF(U80="Watch","Retest or retargeting","" ))</f>
        <v/>
      </c>
      <c r="W80" s="13" t="n"/>
    </row>
    <row r="81">
      <c r="A81" s="13" t="n"/>
      <c r="B81" s="13" t="n"/>
      <c r="C81" s="13" t="n"/>
      <c r="D81" s="13" t="n"/>
      <c r="E81" s="13" t="n"/>
      <c r="F81" s="13" t="n"/>
      <c r="G81" s="40" t="n"/>
      <c r="H81" s="35" t="n"/>
      <c r="I81" s="40" t="n"/>
      <c r="J81" s="40" t="n"/>
      <c r="K81" s="40" t="n"/>
      <c r="L81" s="40" t="n"/>
      <c r="M81" s="34" t="n"/>
      <c r="N81" s="36">
        <f>IFERROR(H81/G81*1000,"")</f>
        <v/>
      </c>
      <c r="O81" s="41">
        <f>IFERROR(I81/G81,"")</f>
        <v/>
      </c>
      <c r="P81" s="41">
        <f>IFERROR(J81/G81,"")</f>
        <v/>
      </c>
      <c r="Q81" s="42">
        <f>IFERROR(P81/O81,"")</f>
        <v/>
      </c>
      <c r="R81" s="43">
        <f>IFERROR(K81/J81,"")</f>
        <v/>
      </c>
      <c r="S81" s="37">
        <f>IFERROR(M81/H81,"")</f>
        <v/>
      </c>
      <c r="T81" s="27">
        <f>IF(G81="","",IF(G81&gt;='KPI Benchmarks'!$D$14,"Yes","No"))</f>
        <v/>
      </c>
      <c r="U81" s="44">
        <f>IF(G81="","",IF(T81="No","Running",IF(AND(N(O81)&gt;='KPI Benchmarks'!$D$5,N(Q81)&gt;='KPI Benchmarks'!$D$6,OR(N(L81)&gt;0,N(K81)&gt;0)),"WINNER",IF(AND(N(O81)&gt;='KPI Benchmarks'!$D$5,N(Q81)&gt;='KPI Benchmarks'!$D$6),"Watch","Cut"))))</f>
        <v/>
      </c>
      <c r="V81" s="27">
        <f>IF(U81="WINNER",IF(N(L81)&gt;0,"Prospecting (ASC / interests)","Retargeting candidate"),IF(U81="Watch","Retest or retargeting","" ))</f>
        <v/>
      </c>
      <c r="W81" s="13" t="n"/>
    </row>
    <row r="82">
      <c r="A82" s="13" t="n"/>
      <c r="B82" s="13" t="n"/>
      <c r="C82" s="13" t="n"/>
      <c r="D82" s="13" t="n"/>
      <c r="E82" s="13" t="n"/>
      <c r="F82" s="13" t="n"/>
      <c r="G82" s="40" t="n"/>
      <c r="H82" s="35" t="n"/>
      <c r="I82" s="40" t="n"/>
      <c r="J82" s="40" t="n"/>
      <c r="K82" s="40" t="n"/>
      <c r="L82" s="40" t="n"/>
      <c r="M82" s="34" t="n"/>
      <c r="N82" s="36">
        <f>IFERROR(H82/G82*1000,"")</f>
        <v/>
      </c>
      <c r="O82" s="41">
        <f>IFERROR(I82/G82,"")</f>
        <v/>
      </c>
      <c r="P82" s="41">
        <f>IFERROR(J82/G82,"")</f>
        <v/>
      </c>
      <c r="Q82" s="42">
        <f>IFERROR(P82/O82,"")</f>
        <v/>
      </c>
      <c r="R82" s="43">
        <f>IFERROR(K82/J82,"")</f>
        <v/>
      </c>
      <c r="S82" s="37">
        <f>IFERROR(M82/H82,"")</f>
        <v/>
      </c>
      <c r="T82" s="27">
        <f>IF(G82="","",IF(G82&gt;='KPI Benchmarks'!$D$14,"Yes","No"))</f>
        <v/>
      </c>
      <c r="U82" s="44">
        <f>IF(G82="","",IF(T82="No","Running",IF(AND(N(O82)&gt;='KPI Benchmarks'!$D$5,N(Q82)&gt;='KPI Benchmarks'!$D$6,OR(N(L82)&gt;0,N(K82)&gt;0)),"WINNER",IF(AND(N(O82)&gt;='KPI Benchmarks'!$D$5,N(Q82)&gt;='KPI Benchmarks'!$D$6),"Watch","Cut"))))</f>
        <v/>
      </c>
      <c r="V82" s="27">
        <f>IF(U82="WINNER",IF(N(L82)&gt;0,"Prospecting (ASC / interests)","Retargeting candidate"),IF(U82="Watch","Retest or retargeting","" ))</f>
        <v/>
      </c>
      <c r="W82" s="13" t="n"/>
    </row>
    <row r="83">
      <c r="A83" s="13" t="n"/>
      <c r="B83" s="13" t="n"/>
      <c r="C83" s="13" t="n"/>
      <c r="D83" s="13" t="n"/>
      <c r="E83" s="13" t="n"/>
      <c r="F83" s="13" t="n"/>
      <c r="G83" s="40" t="n"/>
      <c r="H83" s="35" t="n"/>
      <c r="I83" s="40" t="n"/>
      <c r="J83" s="40" t="n"/>
      <c r="K83" s="40" t="n"/>
      <c r="L83" s="40" t="n"/>
      <c r="M83" s="34" t="n"/>
      <c r="N83" s="36">
        <f>IFERROR(H83/G83*1000,"")</f>
        <v/>
      </c>
      <c r="O83" s="41">
        <f>IFERROR(I83/G83,"")</f>
        <v/>
      </c>
      <c r="P83" s="41">
        <f>IFERROR(J83/G83,"")</f>
        <v/>
      </c>
      <c r="Q83" s="42">
        <f>IFERROR(P83/O83,"")</f>
        <v/>
      </c>
      <c r="R83" s="43">
        <f>IFERROR(K83/J83,"")</f>
        <v/>
      </c>
      <c r="S83" s="37">
        <f>IFERROR(M83/H83,"")</f>
        <v/>
      </c>
      <c r="T83" s="27">
        <f>IF(G83="","",IF(G83&gt;='KPI Benchmarks'!$D$14,"Yes","No"))</f>
        <v/>
      </c>
      <c r="U83" s="44">
        <f>IF(G83="","",IF(T83="No","Running",IF(AND(N(O83)&gt;='KPI Benchmarks'!$D$5,N(Q83)&gt;='KPI Benchmarks'!$D$6,OR(N(L83)&gt;0,N(K83)&gt;0)),"WINNER",IF(AND(N(O83)&gt;='KPI Benchmarks'!$D$5,N(Q83)&gt;='KPI Benchmarks'!$D$6),"Watch","Cut"))))</f>
        <v/>
      </c>
      <c r="V83" s="27">
        <f>IF(U83="WINNER",IF(N(L83)&gt;0,"Prospecting (ASC / interests)","Retargeting candidate"),IF(U83="Watch","Retest or retargeting","" ))</f>
        <v/>
      </c>
      <c r="W83" s="13" t="n"/>
    </row>
    <row r="84">
      <c r="A84" s="13" t="n"/>
      <c r="B84" s="13" t="n"/>
      <c r="C84" s="13" t="n"/>
      <c r="D84" s="13" t="n"/>
      <c r="E84" s="13" t="n"/>
      <c r="F84" s="13" t="n"/>
      <c r="G84" s="40" t="n"/>
      <c r="H84" s="35" t="n"/>
      <c r="I84" s="40" t="n"/>
      <c r="J84" s="40" t="n"/>
      <c r="K84" s="40" t="n"/>
      <c r="L84" s="40" t="n"/>
      <c r="M84" s="34" t="n"/>
      <c r="N84" s="36">
        <f>IFERROR(H84/G84*1000,"")</f>
        <v/>
      </c>
      <c r="O84" s="41">
        <f>IFERROR(I84/G84,"")</f>
        <v/>
      </c>
      <c r="P84" s="41">
        <f>IFERROR(J84/G84,"")</f>
        <v/>
      </c>
      <c r="Q84" s="42">
        <f>IFERROR(P84/O84,"")</f>
        <v/>
      </c>
      <c r="R84" s="43">
        <f>IFERROR(K84/J84,"")</f>
        <v/>
      </c>
      <c r="S84" s="37">
        <f>IFERROR(M84/H84,"")</f>
        <v/>
      </c>
      <c r="T84" s="27">
        <f>IF(G84="","",IF(G84&gt;='KPI Benchmarks'!$D$14,"Yes","No"))</f>
        <v/>
      </c>
      <c r="U84" s="44">
        <f>IF(G84="","",IF(T84="No","Running",IF(AND(N(O84)&gt;='KPI Benchmarks'!$D$5,N(Q84)&gt;='KPI Benchmarks'!$D$6,OR(N(L84)&gt;0,N(K84)&gt;0)),"WINNER",IF(AND(N(O84)&gt;='KPI Benchmarks'!$D$5,N(Q84)&gt;='KPI Benchmarks'!$D$6),"Watch","Cut"))))</f>
        <v/>
      </c>
      <c r="V84" s="27">
        <f>IF(U84="WINNER",IF(N(L84)&gt;0,"Prospecting (ASC / interests)","Retargeting candidate"),IF(U84="Watch","Retest or retargeting","" ))</f>
        <v/>
      </c>
      <c r="W84" s="13" t="n"/>
    </row>
    <row r="85">
      <c r="A85" s="13" t="n"/>
      <c r="B85" s="13" t="n"/>
      <c r="C85" s="13" t="n"/>
      <c r="D85" s="13" t="n"/>
      <c r="E85" s="13" t="n"/>
      <c r="F85" s="13" t="n"/>
      <c r="G85" s="40" t="n"/>
      <c r="H85" s="35" t="n"/>
      <c r="I85" s="40" t="n"/>
      <c r="J85" s="40" t="n"/>
      <c r="K85" s="40" t="n"/>
      <c r="L85" s="40" t="n"/>
      <c r="M85" s="34" t="n"/>
      <c r="N85" s="36">
        <f>IFERROR(H85/G85*1000,"")</f>
        <v/>
      </c>
      <c r="O85" s="41">
        <f>IFERROR(I85/G85,"")</f>
        <v/>
      </c>
      <c r="P85" s="41">
        <f>IFERROR(J85/G85,"")</f>
        <v/>
      </c>
      <c r="Q85" s="42">
        <f>IFERROR(P85/O85,"")</f>
        <v/>
      </c>
      <c r="R85" s="43">
        <f>IFERROR(K85/J85,"")</f>
        <v/>
      </c>
      <c r="S85" s="37">
        <f>IFERROR(M85/H85,"")</f>
        <v/>
      </c>
      <c r="T85" s="27">
        <f>IF(G85="","",IF(G85&gt;='KPI Benchmarks'!$D$14,"Yes","No"))</f>
        <v/>
      </c>
      <c r="U85" s="44">
        <f>IF(G85="","",IF(T85="No","Running",IF(AND(N(O85)&gt;='KPI Benchmarks'!$D$5,N(Q85)&gt;='KPI Benchmarks'!$D$6,OR(N(L85)&gt;0,N(K85)&gt;0)),"WINNER",IF(AND(N(O85)&gt;='KPI Benchmarks'!$D$5,N(Q85)&gt;='KPI Benchmarks'!$D$6),"Watch","Cut"))))</f>
        <v/>
      </c>
      <c r="V85" s="27">
        <f>IF(U85="WINNER",IF(N(L85)&gt;0,"Prospecting (ASC / interests)","Retargeting candidate"),IF(U85="Watch","Retest or retargeting","" ))</f>
        <v/>
      </c>
      <c r="W85" s="13" t="n"/>
    </row>
    <row r="86">
      <c r="A86" s="13" t="n"/>
      <c r="B86" s="13" t="n"/>
      <c r="C86" s="13" t="n"/>
      <c r="D86" s="13" t="n"/>
      <c r="E86" s="13" t="n"/>
      <c r="F86" s="13" t="n"/>
      <c r="G86" s="40" t="n"/>
      <c r="H86" s="35" t="n"/>
      <c r="I86" s="40" t="n"/>
      <c r="J86" s="40" t="n"/>
      <c r="K86" s="40" t="n"/>
      <c r="L86" s="40" t="n"/>
      <c r="M86" s="34" t="n"/>
      <c r="N86" s="36">
        <f>IFERROR(H86/G86*1000,"")</f>
        <v/>
      </c>
      <c r="O86" s="41">
        <f>IFERROR(I86/G86,"")</f>
        <v/>
      </c>
      <c r="P86" s="41">
        <f>IFERROR(J86/G86,"")</f>
        <v/>
      </c>
      <c r="Q86" s="42">
        <f>IFERROR(P86/O86,"")</f>
        <v/>
      </c>
      <c r="R86" s="43">
        <f>IFERROR(K86/J86,"")</f>
        <v/>
      </c>
      <c r="S86" s="37">
        <f>IFERROR(M86/H86,"")</f>
        <v/>
      </c>
      <c r="T86" s="27">
        <f>IF(G86="","",IF(G86&gt;='KPI Benchmarks'!$D$14,"Yes","No"))</f>
        <v/>
      </c>
      <c r="U86" s="44">
        <f>IF(G86="","",IF(T86="No","Running",IF(AND(N(O86)&gt;='KPI Benchmarks'!$D$5,N(Q86)&gt;='KPI Benchmarks'!$D$6,OR(N(L86)&gt;0,N(K86)&gt;0)),"WINNER",IF(AND(N(O86)&gt;='KPI Benchmarks'!$D$5,N(Q86)&gt;='KPI Benchmarks'!$D$6),"Watch","Cut"))))</f>
        <v/>
      </c>
      <c r="V86" s="27">
        <f>IF(U86="WINNER",IF(N(L86)&gt;0,"Prospecting (ASC / interests)","Retargeting candidate"),IF(U86="Watch","Retest or retargeting","" ))</f>
        <v/>
      </c>
      <c r="W86" s="13" t="n"/>
    </row>
    <row r="87">
      <c r="A87" s="13" t="n"/>
      <c r="B87" s="13" t="n"/>
      <c r="C87" s="13" t="n"/>
      <c r="D87" s="13" t="n"/>
      <c r="E87" s="13" t="n"/>
      <c r="F87" s="13" t="n"/>
      <c r="G87" s="40" t="n"/>
      <c r="H87" s="35" t="n"/>
      <c r="I87" s="40" t="n"/>
      <c r="J87" s="40" t="n"/>
      <c r="K87" s="40" t="n"/>
      <c r="L87" s="40" t="n"/>
      <c r="M87" s="34" t="n"/>
      <c r="N87" s="36">
        <f>IFERROR(H87/G87*1000,"")</f>
        <v/>
      </c>
      <c r="O87" s="41">
        <f>IFERROR(I87/G87,"")</f>
        <v/>
      </c>
      <c r="P87" s="41">
        <f>IFERROR(J87/G87,"")</f>
        <v/>
      </c>
      <c r="Q87" s="42">
        <f>IFERROR(P87/O87,"")</f>
        <v/>
      </c>
      <c r="R87" s="43">
        <f>IFERROR(K87/J87,"")</f>
        <v/>
      </c>
      <c r="S87" s="37">
        <f>IFERROR(M87/H87,"")</f>
        <v/>
      </c>
      <c r="T87" s="27">
        <f>IF(G87="","",IF(G87&gt;='KPI Benchmarks'!$D$14,"Yes","No"))</f>
        <v/>
      </c>
      <c r="U87" s="44">
        <f>IF(G87="","",IF(T87="No","Running",IF(AND(N(O87)&gt;='KPI Benchmarks'!$D$5,N(Q87)&gt;='KPI Benchmarks'!$D$6,OR(N(L87)&gt;0,N(K87)&gt;0)),"WINNER",IF(AND(N(O87)&gt;='KPI Benchmarks'!$D$5,N(Q87)&gt;='KPI Benchmarks'!$D$6),"Watch","Cut"))))</f>
        <v/>
      </c>
      <c r="V87" s="27">
        <f>IF(U87="WINNER",IF(N(L87)&gt;0,"Prospecting (ASC / interests)","Retargeting candidate"),IF(U87="Watch","Retest or retargeting","" ))</f>
        <v/>
      </c>
      <c r="W87" s="13" t="n"/>
    </row>
    <row r="88">
      <c r="A88" s="13" t="n"/>
      <c r="B88" s="13" t="n"/>
      <c r="C88" s="13" t="n"/>
      <c r="D88" s="13" t="n"/>
      <c r="E88" s="13" t="n"/>
      <c r="F88" s="13" t="n"/>
      <c r="G88" s="40" t="n"/>
      <c r="H88" s="35" t="n"/>
      <c r="I88" s="40" t="n"/>
      <c r="J88" s="40" t="n"/>
      <c r="K88" s="40" t="n"/>
      <c r="L88" s="40" t="n"/>
      <c r="M88" s="34" t="n"/>
      <c r="N88" s="36">
        <f>IFERROR(H88/G88*1000,"")</f>
        <v/>
      </c>
      <c r="O88" s="41">
        <f>IFERROR(I88/G88,"")</f>
        <v/>
      </c>
      <c r="P88" s="41">
        <f>IFERROR(J88/G88,"")</f>
        <v/>
      </c>
      <c r="Q88" s="42">
        <f>IFERROR(P88/O88,"")</f>
        <v/>
      </c>
      <c r="R88" s="43">
        <f>IFERROR(K88/J88,"")</f>
        <v/>
      </c>
      <c r="S88" s="37">
        <f>IFERROR(M88/H88,"")</f>
        <v/>
      </c>
      <c r="T88" s="27">
        <f>IF(G88="","",IF(G88&gt;='KPI Benchmarks'!$D$14,"Yes","No"))</f>
        <v/>
      </c>
      <c r="U88" s="44">
        <f>IF(G88="","",IF(T88="No","Running",IF(AND(N(O88)&gt;='KPI Benchmarks'!$D$5,N(Q88)&gt;='KPI Benchmarks'!$D$6,OR(N(L88)&gt;0,N(K88)&gt;0)),"WINNER",IF(AND(N(O88)&gt;='KPI Benchmarks'!$D$5,N(Q88)&gt;='KPI Benchmarks'!$D$6),"Watch","Cut"))))</f>
        <v/>
      </c>
      <c r="V88" s="27">
        <f>IF(U88="WINNER",IF(N(L88)&gt;0,"Prospecting (ASC / interests)","Retargeting candidate"),IF(U88="Watch","Retest or retargeting","" ))</f>
        <v/>
      </c>
      <c r="W88" s="13" t="n"/>
    </row>
    <row r="89">
      <c r="A89" s="13" t="n"/>
      <c r="B89" s="13" t="n"/>
      <c r="C89" s="13" t="n"/>
      <c r="D89" s="13" t="n"/>
      <c r="E89" s="13" t="n"/>
      <c r="F89" s="13" t="n"/>
      <c r="G89" s="40" t="n"/>
      <c r="H89" s="35" t="n"/>
      <c r="I89" s="40" t="n"/>
      <c r="J89" s="40" t="n"/>
      <c r="K89" s="40" t="n"/>
      <c r="L89" s="40" t="n"/>
      <c r="M89" s="34" t="n"/>
      <c r="N89" s="36">
        <f>IFERROR(H89/G89*1000,"")</f>
        <v/>
      </c>
      <c r="O89" s="41">
        <f>IFERROR(I89/G89,"")</f>
        <v/>
      </c>
      <c r="P89" s="41">
        <f>IFERROR(J89/G89,"")</f>
        <v/>
      </c>
      <c r="Q89" s="42">
        <f>IFERROR(P89/O89,"")</f>
        <v/>
      </c>
      <c r="R89" s="43">
        <f>IFERROR(K89/J89,"")</f>
        <v/>
      </c>
      <c r="S89" s="37">
        <f>IFERROR(M89/H89,"")</f>
        <v/>
      </c>
      <c r="T89" s="27">
        <f>IF(G89="","",IF(G89&gt;='KPI Benchmarks'!$D$14,"Yes","No"))</f>
        <v/>
      </c>
      <c r="U89" s="44">
        <f>IF(G89="","",IF(T89="No","Running",IF(AND(N(O89)&gt;='KPI Benchmarks'!$D$5,N(Q89)&gt;='KPI Benchmarks'!$D$6,OR(N(L89)&gt;0,N(K89)&gt;0)),"WINNER",IF(AND(N(O89)&gt;='KPI Benchmarks'!$D$5,N(Q89)&gt;='KPI Benchmarks'!$D$6),"Watch","Cut"))))</f>
        <v/>
      </c>
      <c r="V89" s="27">
        <f>IF(U89="WINNER",IF(N(L89)&gt;0,"Prospecting (ASC / interests)","Retargeting candidate"),IF(U89="Watch","Retest or retargeting","" ))</f>
        <v/>
      </c>
      <c r="W89" s="13" t="n"/>
    </row>
    <row r="90">
      <c r="A90" s="13" t="n"/>
      <c r="B90" s="13" t="n"/>
      <c r="C90" s="13" t="n"/>
      <c r="D90" s="13" t="n"/>
      <c r="E90" s="13" t="n"/>
      <c r="F90" s="13" t="n"/>
      <c r="G90" s="40" t="n"/>
      <c r="H90" s="35" t="n"/>
      <c r="I90" s="40" t="n"/>
      <c r="J90" s="40" t="n"/>
      <c r="K90" s="40" t="n"/>
      <c r="L90" s="40" t="n"/>
      <c r="M90" s="34" t="n"/>
      <c r="N90" s="36">
        <f>IFERROR(H90/G90*1000,"")</f>
        <v/>
      </c>
      <c r="O90" s="41">
        <f>IFERROR(I90/G90,"")</f>
        <v/>
      </c>
      <c r="P90" s="41">
        <f>IFERROR(J90/G90,"")</f>
        <v/>
      </c>
      <c r="Q90" s="42">
        <f>IFERROR(P90/O90,"")</f>
        <v/>
      </c>
      <c r="R90" s="43">
        <f>IFERROR(K90/J90,"")</f>
        <v/>
      </c>
      <c r="S90" s="37">
        <f>IFERROR(M90/H90,"")</f>
        <v/>
      </c>
      <c r="T90" s="27">
        <f>IF(G90="","",IF(G90&gt;='KPI Benchmarks'!$D$14,"Yes","No"))</f>
        <v/>
      </c>
      <c r="U90" s="44">
        <f>IF(G90="","",IF(T90="No","Running",IF(AND(N(O90)&gt;='KPI Benchmarks'!$D$5,N(Q90)&gt;='KPI Benchmarks'!$D$6,OR(N(L90)&gt;0,N(K90)&gt;0)),"WINNER",IF(AND(N(O90)&gt;='KPI Benchmarks'!$D$5,N(Q90)&gt;='KPI Benchmarks'!$D$6),"Watch","Cut"))))</f>
        <v/>
      </c>
      <c r="V90" s="27">
        <f>IF(U90="WINNER",IF(N(L90)&gt;0,"Prospecting (ASC / interests)","Retargeting candidate"),IF(U90="Watch","Retest or retargeting","" ))</f>
        <v/>
      </c>
      <c r="W90" s="13" t="n"/>
    </row>
    <row r="91">
      <c r="A91" s="13" t="n"/>
      <c r="B91" s="13" t="n"/>
      <c r="C91" s="13" t="n"/>
      <c r="D91" s="13" t="n"/>
      <c r="E91" s="13" t="n"/>
      <c r="F91" s="13" t="n"/>
      <c r="G91" s="40" t="n"/>
      <c r="H91" s="35" t="n"/>
      <c r="I91" s="40" t="n"/>
      <c r="J91" s="40" t="n"/>
      <c r="K91" s="40" t="n"/>
      <c r="L91" s="40" t="n"/>
      <c r="M91" s="34" t="n"/>
      <c r="N91" s="36">
        <f>IFERROR(H91/G91*1000,"")</f>
        <v/>
      </c>
      <c r="O91" s="41">
        <f>IFERROR(I91/G91,"")</f>
        <v/>
      </c>
      <c r="P91" s="41">
        <f>IFERROR(J91/G91,"")</f>
        <v/>
      </c>
      <c r="Q91" s="42">
        <f>IFERROR(P91/O91,"")</f>
        <v/>
      </c>
      <c r="R91" s="43">
        <f>IFERROR(K91/J91,"")</f>
        <v/>
      </c>
      <c r="S91" s="37">
        <f>IFERROR(M91/H91,"")</f>
        <v/>
      </c>
      <c r="T91" s="27">
        <f>IF(G91="","",IF(G91&gt;='KPI Benchmarks'!$D$14,"Yes","No"))</f>
        <v/>
      </c>
      <c r="U91" s="44">
        <f>IF(G91="","",IF(T91="No","Running",IF(AND(N(O91)&gt;='KPI Benchmarks'!$D$5,N(Q91)&gt;='KPI Benchmarks'!$D$6,OR(N(L91)&gt;0,N(K91)&gt;0)),"WINNER",IF(AND(N(O91)&gt;='KPI Benchmarks'!$D$5,N(Q91)&gt;='KPI Benchmarks'!$D$6),"Watch","Cut"))))</f>
        <v/>
      </c>
      <c r="V91" s="27">
        <f>IF(U91="WINNER",IF(N(L91)&gt;0,"Prospecting (ASC / interests)","Retargeting candidate"),IF(U91="Watch","Retest or retargeting","" ))</f>
        <v/>
      </c>
      <c r="W91" s="13" t="n"/>
    </row>
    <row r="92">
      <c r="A92" s="13" t="n"/>
      <c r="B92" s="13" t="n"/>
      <c r="C92" s="13" t="n"/>
      <c r="D92" s="13" t="n"/>
      <c r="E92" s="13" t="n"/>
      <c r="F92" s="13" t="n"/>
      <c r="G92" s="40" t="n"/>
      <c r="H92" s="35" t="n"/>
      <c r="I92" s="40" t="n"/>
      <c r="J92" s="40" t="n"/>
      <c r="K92" s="40" t="n"/>
      <c r="L92" s="40" t="n"/>
      <c r="M92" s="34" t="n"/>
      <c r="N92" s="36">
        <f>IFERROR(H92/G92*1000,"")</f>
        <v/>
      </c>
      <c r="O92" s="41">
        <f>IFERROR(I92/G92,"")</f>
        <v/>
      </c>
      <c r="P92" s="41">
        <f>IFERROR(J92/G92,"")</f>
        <v/>
      </c>
      <c r="Q92" s="42">
        <f>IFERROR(P92/O92,"")</f>
        <v/>
      </c>
      <c r="R92" s="43">
        <f>IFERROR(K92/J92,"")</f>
        <v/>
      </c>
      <c r="S92" s="37">
        <f>IFERROR(M92/H92,"")</f>
        <v/>
      </c>
      <c r="T92" s="27">
        <f>IF(G92="","",IF(G92&gt;='KPI Benchmarks'!$D$14,"Yes","No"))</f>
        <v/>
      </c>
      <c r="U92" s="44">
        <f>IF(G92="","",IF(T92="No","Running",IF(AND(N(O92)&gt;='KPI Benchmarks'!$D$5,N(Q92)&gt;='KPI Benchmarks'!$D$6,OR(N(L92)&gt;0,N(K92)&gt;0)),"WINNER",IF(AND(N(O92)&gt;='KPI Benchmarks'!$D$5,N(Q92)&gt;='KPI Benchmarks'!$D$6),"Watch","Cut"))))</f>
        <v/>
      </c>
      <c r="V92" s="27">
        <f>IF(U92="WINNER",IF(N(L92)&gt;0,"Prospecting (ASC / interests)","Retargeting candidate"),IF(U92="Watch","Retest or retargeting","" ))</f>
        <v/>
      </c>
      <c r="W92" s="13" t="n"/>
    </row>
    <row r="93">
      <c r="A93" s="13" t="n"/>
      <c r="B93" s="13" t="n"/>
      <c r="C93" s="13" t="n"/>
      <c r="D93" s="13" t="n"/>
      <c r="E93" s="13" t="n"/>
      <c r="F93" s="13" t="n"/>
      <c r="G93" s="40" t="n"/>
      <c r="H93" s="35" t="n"/>
      <c r="I93" s="40" t="n"/>
      <c r="J93" s="40" t="n"/>
      <c r="K93" s="40" t="n"/>
      <c r="L93" s="40" t="n"/>
      <c r="M93" s="34" t="n"/>
      <c r="N93" s="36">
        <f>IFERROR(H93/G93*1000,"")</f>
        <v/>
      </c>
      <c r="O93" s="41">
        <f>IFERROR(I93/G93,"")</f>
        <v/>
      </c>
      <c r="P93" s="41">
        <f>IFERROR(J93/G93,"")</f>
        <v/>
      </c>
      <c r="Q93" s="42">
        <f>IFERROR(P93/O93,"")</f>
        <v/>
      </c>
      <c r="R93" s="43">
        <f>IFERROR(K93/J93,"")</f>
        <v/>
      </c>
      <c r="S93" s="37">
        <f>IFERROR(M93/H93,"")</f>
        <v/>
      </c>
      <c r="T93" s="27">
        <f>IF(G93="","",IF(G93&gt;='KPI Benchmarks'!$D$14,"Yes","No"))</f>
        <v/>
      </c>
      <c r="U93" s="44">
        <f>IF(G93="","",IF(T93="No","Running",IF(AND(N(O93)&gt;='KPI Benchmarks'!$D$5,N(Q93)&gt;='KPI Benchmarks'!$D$6,OR(N(L93)&gt;0,N(K93)&gt;0)),"WINNER",IF(AND(N(O93)&gt;='KPI Benchmarks'!$D$5,N(Q93)&gt;='KPI Benchmarks'!$D$6),"Watch","Cut"))))</f>
        <v/>
      </c>
      <c r="V93" s="27">
        <f>IF(U93="WINNER",IF(N(L93)&gt;0,"Prospecting (ASC / interests)","Retargeting candidate"),IF(U93="Watch","Retest or retargeting","" ))</f>
        <v/>
      </c>
      <c r="W93" s="13" t="n"/>
    </row>
    <row r="94">
      <c r="A94" s="13" t="n"/>
      <c r="B94" s="13" t="n"/>
      <c r="C94" s="13" t="n"/>
      <c r="D94" s="13" t="n"/>
      <c r="E94" s="13" t="n"/>
      <c r="F94" s="13" t="n"/>
      <c r="G94" s="40" t="n"/>
      <c r="H94" s="35" t="n"/>
      <c r="I94" s="40" t="n"/>
      <c r="J94" s="40" t="n"/>
      <c r="K94" s="40" t="n"/>
      <c r="L94" s="40" t="n"/>
      <c r="M94" s="34" t="n"/>
      <c r="N94" s="36">
        <f>IFERROR(H94/G94*1000,"")</f>
        <v/>
      </c>
      <c r="O94" s="41">
        <f>IFERROR(I94/G94,"")</f>
        <v/>
      </c>
      <c r="P94" s="41">
        <f>IFERROR(J94/G94,"")</f>
        <v/>
      </c>
      <c r="Q94" s="42">
        <f>IFERROR(P94/O94,"")</f>
        <v/>
      </c>
      <c r="R94" s="43">
        <f>IFERROR(K94/J94,"")</f>
        <v/>
      </c>
      <c r="S94" s="37">
        <f>IFERROR(M94/H94,"")</f>
        <v/>
      </c>
      <c r="T94" s="27">
        <f>IF(G94="","",IF(G94&gt;='KPI Benchmarks'!$D$14,"Yes","No"))</f>
        <v/>
      </c>
      <c r="U94" s="44">
        <f>IF(G94="","",IF(T94="No","Running",IF(AND(N(O94)&gt;='KPI Benchmarks'!$D$5,N(Q94)&gt;='KPI Benchmarks'!$D$6,OR(N(L94)&gt;0,N(K94)&gt;0)),"WINNER",IF(AND(N(O94)&gt;='KPI Benchmarks'!$D$5,N(Q94)&gt;='KPI Benchmarks'!$D$6),"Watch","Cut"))))</f>
        <v/>
      </c>
      <c r="V94" s="27">
        <f>IF(U94="WINNER",IF(N(L94)&gt;0,"Prospecting (ASC / interests)","Retargeting candidate"),IF(U94="Watch","Retest or retargeting","" ))</f>
        <v/>
      </c>
      <c r="W94" s="13" t="n"/>
    </row>
    <row r="95">
      <c r="A95" s="13" t="n"/>
      <c r="B95" s="13" t="n"/>
      <c r="C95" s="13" t="n"/>
      <c r="D95" s="13" t="n"/>
      <c r="E95" s="13" t="n"/>
      <c r="F95" s="13" t="n"/>
      <c r="G95" s="40" t="n"/>
      <c r="H95" s="35" t="n"/>
      <c r="I95" s="40" t="n"/>
      <c r="J95" s="40" t="n"/>
      <c r="K95" s="40" t="n"/>
      <c r="L95" s="40" t="n"/>
      <c r="M95" s="34" t="n"/>
      <c r="N95" s="36">
        <f>IFERROR(H95/G95*1000,"")</f>
        <v/>
      </c>
      <c r="O95" s="41">
        <f>IFERROR(I95/G95,"")</f>
        <v/>
      </c>
      <c r="P95" s="41">
        <f>IFERROR(J95/G95,"")</f>
        <v/>
      </c>
      <c r="Q95" s="42">
        <f>IFERROR(P95/O95,"")</f>
        <v/>
      </c>
      <c r="R95" s="43">
        <f>IFERROR(K95/J95,"")</f>
        <v/>
      </c>
      <c r="S95" s="37">
        <f>IFERROR(M95/H95,"")</f>
        <v/>
      </c>
      <c r="T95" s="27">
        <f>IF(G95="","",IF(G95&gt;='KPI Benchmarks'!$D$14,"Yes","No"))</f>
        <v/>
      </c>
      <c r="U95" s="44">
        <f>IF(G95="","",IF(T95="No","Running",IF(AND(N(O95)&gt;='KPI Benchmarks'!$D$5,N(Q95)&gt;='KPI Benchmarks'!$D$6,OR(N(L95)&gt;0,N(K95)&gt;0)),"WINNER",IF(AND(N(O95)&gt;='KPI Benchmarks'!$D$5,N(Q95)&gt;='KPI Benchmarks'!$D$6),"Watch","Cut"))))</f>
        <v/>
      </c>
      <c r="V95" s="27">
        <f>IF(U95="WINNER",IF(N(L95)&gt;0,"Prospecting (ASC / interests)","Retargeting candidate"),IF(U95="Watch","Retest or retargeting","" ))</f>
        <v/>
      </c>
      <c r="W95" s="13" t="n"/>
    </row>
    <row r="96">
      <c r="A96" s="13" t="n"/>
      <c r="B96" s="13" t="n"/>
      <c r="C96" s="13" t="n"/>
      <c r="D96" s="13" t="n"/>
      <c r="E96" s="13" t="n"/>
      <c r="F96" s="13" t="n"/>
      <c r="G96" s="40" t="n"/>
      <c r="H96" s="35" t="n"/>
      <c r="I96" s="40" t="n"/>
      <c r="J96" s="40" t="n"/>
      <c r="K96" s="40" t="n"/>
      <c r="L96" s="40" t="n"/>
      <c r="M96" s="34" t="n"/>
      <c r="N96" s="36">
        <f>IFERROR(H96/G96*1000,"")</f>
        <v/>
      </c>
      <c r="O96" s="41">
        <f>IFERROR(I96/G96,"")</f>
        <v/>
      </c>
      <c r="P96" s="41">
        <f>IFERROR(J96/G96,"")</f>
        <v/>
      </c>
      <c r="Q96" s="42">
        <f>IFERROR(P96/O96,"")</f>
        <v/>
      </c>
      <c r="R96" s="43">
        <f>IFERROR(K96/J96,"")</f>
        <v/>
      </c>
      <c r="S96" s="37">
        <f>IFERROR(M96/H96,"")</f>
        <v/>
      </c>
      <c r="T96" s="27">
        <f>IF(G96="","",IF(G96&gt;='KPI Benchmarks'!$D$14,"Yes","No"))</f>
        <v/>
      </c>
      <c r="U96" s="44">
        <f>IF(G96="","",IF(T96="No","Running",IF(AND(N(O96)&gt;='KPI Benchmarks'!$D$5,N(Q96)&gt;='KPI Benchmarks'!$D$6,OR(N(L96)&gt;0,N(K96)&gt;0)),"WINNER",IF(AND(N(O96)&gt;='KPI Benchmarks'!$D$5,N(Q96)&gt;='KPI Benchmarks'!$D$6),"Watch","Cut"))))</f>
        <v/>
      </c>
      <c r="V96" s="27">
        <f>IF(U96="WINNER",IF(N(L96)&gt;0,"Prospecting (ASC / interests)","Retargeting candidate"),IF(U96="Watch","Retest or retargeting","" ))</f>
        <v/>
      </c>
      <c r="W96" s="13" t="n"/>
    </row>
    <row r="97">
      <c r="A97" s="13" t="n"/>
      <c r="B97" s="13" t="n"/>
      <c r="C97" s="13" t="n"/>
      <c r="D97" s="13" t="n"/>
      <c r="E97" s="13" t="n"/>
      <c r="F97" s="13" t="n"/>
      <c r="G97" s="40" t="n"/>
      <c r="H97" s="35" t="n"/>
      <c r="I97" s="40" t="n"/>
      <c r="J97" s="40" t="n"/>
      <c r="K97" s="40" t="n"/>
      <c r="L97" s="40" t="n"/>
      <c r="M97" s="34" t="n"/>
      <c r="N97" s="36">
        <f>IFERROR(H97/G97*1000,"")</f>
        <v/>
      </c>
      <c r="O97" s="41">
        <f>IFERROR(I97/G97,"")</f>
        <v/>
      </c>
      <c r="P97" s="41">
        <f>IFERROR(J97/G97,"")</f>
        <v/>
      </c>
      <c r="Q97" s="42">
        <f>IFERROR(P97/O97,"")</f>
        <v/>
      </c>
      <c r="R97" s="43">
        <f>IFERROR(K97/J97,"")</f>
        <v/>
      </c>
      <c r="S97" s="37">
        <f>IFERROR(M97/H97,"")</f>
        <v/>
      </c>
      <c r="T97" s="27">
        <f>IF(G97="","",IF(G97&gt;='KPI Benchmarks'!$D$14,"Yes","No"))</f>
        <v/>
      </c>
      <c r="U97" s="44">
        <f>IF(G97="","",IF(T97="No","Running",IF(AND(N(O97)&gt;='KPI Benchmarks'!$D$5,N(Q97)&gt;='KPI Benchmarks'!$D$6,OR(N(L97)&gt;0,N(K97)&gt;0)),"WINNER",IF(AND(N(O97)&gt;='KPI Benchmarks'!$D$5,N(Q97)&gt;='KPI Benchmarks'!$D$6),"Watch","Cut"))))</f>
        <v/>
      </c>
      <c r="V97" s="27">
        <f>IF(U97="WINNER",IF(N(L97)&gt;0,"Prospecting (ASC / interests)","Retargeting candidate"),IF(U97="Watch","Retest or retargeting","" ))</f>
        <v/>
      </c>
      <c r="W97" s="13" t="n"/>
    </row>
    <row r="98">
      <c r="A98" s="13" t="n"/>
      <c r="B98" s="13" t="n"/>
      <c r="C98" s="13" t="n"/>
      <c r="D98" s="13" t="n"/>
      <c r="E98" s="13" t="n"/>
      <c r="F98" s="13" t="n"/>
      <c r="G98" s="40" t="n"/>
      <c r="H98" s="35" t="n"/>
      <c r="I98" s="40" t="n"/>
      <c r="J98" s="40" t="n"/>
      <c r="K98" s="40" t="n"/>
      <c r="L98" s="40" t="n"/>
      <c r="M98" s="34" t="n"/>
      <c r="N98" s="36">
        <f>IFERROR(H98/G98*1000,"")</f>
        <v/>
      </c>
      <c r="O98" s="41">
        <f>IFERROR(I98/G98,"")</f>
        <v/>
      </c>
      <c r="P98" s="41">
        <f>IFERROR(J98/G98,"")</f>
        <v/>
      </c>
      <c r="Q98" s="42">
        <f>IFERROR(P98/O98,"")</f>
        <v/>
      </c>
      <c r="R98" s="43">
        <f>IFERROR(K98/J98,"")</f>
        <v/>
      </c>
      <c r="S98" s="37">
        <f>IFERROR(M98/H98,"")</f>
        <v/>
      </c>
      <c r="T98" s="27">
        <f>IF(G98="","",IF(G98&gt;='KPI Benchmarks'!$D$14,"Yes","No"))</f>
        <v/>
      </c>
      <c r="U98" s="44">
        <f>IF(G98="","",IF(T98="No","Running",IF(AND(N(O98)&gt;='KPI Benchmarks'!$D$5,N(Q98)&gt;='KPI Benchmarks'!$D$6,OR(N(L98)&gt;0,N(K98)&gt;0)),"WINNER",IF(AND(N(O98)&gt;='KPI Benchmarks'!$D$5,N(Q98)&gt;='KPI Benchmarks'!$D$6),"Watch","Cut"))))</f>
        <v/>
      </c>
      <c r="V98" s="27">
        <f>IF(U98="WINNER",IF(N(L98)&gt;0,"Prospecting (ASC / interests)","Retargeting candidate"),IF(U98="Watch","Retest or retargeting","" ))</f>
        <v/>
      </c>
      <c r="W98" s="13" t="n"/>
    </row>
    <row r="99">
      <c r="A99" s="13" t="n"/>
      <c r="B99" s="13" t="n"/>
      <c r="C99" s="13" t="n"/>
      <c r="D99" s="13" t="n"/>
      <c r="E99" s="13" t="n"/>
      <c r="F99" s="13" t="n"/>
      <c r="G99" s="40" t="n"/>
      <c r="H99" s="35" t="n"/>
      <c r="I99" s="40" t="n"/>
      <c r="J99" s="40" t="n"/>
      <c r="K99" s="40" t="n"/>
      <c r="L99" s="40" t="n"/>
      <c r="M99" s="34" t="n"/>
      <c r="N99" s="36">
        <f>IFERROR(H99/G99*1000,"")</f>
        <v/>
      </c>
      <c r="O99" s="41">
        <f>IFERROR(I99/G99,"")</f>
        <v/>
      </c>
      <c r="P99" s="41">
        <f>IFERROR(J99/G99,"")</f>
        <v/>
      </c>
      <c r="Q99" s="42">
        <f>IFERROR(P99/O99,"")</f>
        <v/>
      </c>
      <c r="R99" s="43">
        <f>IFERROR(K99/J99,"")</f>
        <v/>
      </c>
      <c r="S99" s="37">
        <f>IFERROR(M99/H99,"")</f>
        <v/>
      </c>
      <c r="T99" s="27">
        <f>IF(G99="","",IF(G99&gt;='KPI Benchmarks'!$D$14,"Yes","No"))</f>
        <v/>
      </c>
      <c r="U99" s="44">
        <f>IF(G99="","",IF(T99="No","Running",IF(AND(N(O99)&gt;='KPI Benchmarks'!$D$5,N(Q99)&gt;='KPI Benchmarks'!$D$6,OR(N(L99)&gt;0,N(K99)&gt;0)),"WINNER",IF(AND(N(O99)&gt;='KPI Benchmarks'!$D$5,N(Q99)&gt;='KPI Benchmarks'!$D$6),"Watch","Cut"))))</f>
        <v/>
      </c>
      <c r="V99" s="27">
        <f>IF(U99="WINNER",IF(N(L99)&gt;0,"Prospecting (ASC / interests)","Retargeting candidate"),IF(U99="Watch","Retest or retargeting","" ))</f>
        <v/>
      </c>
      <c r="W99" s="13" t="n"/>
    </row>
    <row r="100">
      <c r="A100" s="13" t="n"/>
      <c r="B100" s="13" t="n"/>
      <c r="C100" s="13" t="n"/>
      <c r="D100" s="13" t="n"/>
      <c r="E100" s="13" t="n"/>
      <c r="F100" s="13" t="n"/>
      <c r="G100" s="40" t="n"/>
      <c r="H100" s="35" t="n"/>
      <c r="I100" s="40" t="n"/>
      <c r="J100" s="40" t="n"/>
      <c r="K100" s="40" t="n"/>
      <c r="L100" s="40" t="n"/>
      <c r="M100" s="34" t="n"/>
      <c r="N100" s="36">
        <f>IFERROR(H100/G100*1000,"")</f>
        <v/>
      </c>
      <c r="O100" s="41">
        <f>IFERROR(I100/G100,"")</f>
        <v/>
      </c>
      <c r="P100" s="41">
        <f>IFERROR(J100/G100,"")</f>
        <v/>
      </c>
      <c r="Q100" s="42">
        <f>IFERROR(P100/O100,"")</f>
        <v/>
      </c>
      <c r="R100" s="43">
        <f>IFERROR(K100/J100,"")</f>
        <v/>
      </c>
      <c r="S100" s="37">
        <f>IFERROR(M100/H100,"")</f>
        <v/>
      </c>
      <c r="T100" s="27">
        <f>IF(G100="","",IF(G100&gt;='KPI Benchmarks'!$D$14,"Yes","No"))</f>
        <v/>
      </c>
      <c r="U100" s="44">
        <f>IF(G100="","",IF(T100="No","Running",IF(AND(N(O100)&gt;='KPI Benchmarks'!$D$5,N(Q100)&gt;='KPI Benchmarks'!$D$6,OR(N(L100)&gt;0,N(K100)&gt;0)),"WINNER",IF(AND(N(O100)&gt;='KPI Benchmarks'!$D$5,N(Q100)&gt;='KPI Benchmarks'!$D$6),"Watch","Cut"))))</f>
        <v/>
      </c>
      <c r="V100" s="27">
        <f>IF(U100="WINNER",IF(N(L100)&gt;0,"Prospecting (ASC / interests)","Retargeting candidate"),IF(U100="Watch","Retest or retargeting","" ))</f>
        <v/>
      </c>
      <c r="W100" s="13" t="n"/>
    </row>
    <row r="101">
      <c r="A101" s="13" t="n"/>
      <c r="B101" s="13" t="n"/>
      <c r="C101" s="13" t="n"/>
      <c r="D101" s="13" t="n"/>
      <c r="E101" s="13" t="n"/>
      <c r="F101" s="13" t="n"/>
      <c r="G101" s="40" t="n"/>
      <c r="H101" s="35" t="n"/>
      <c r="I101" s="40" t="n"/>
      <c r="J101" s="40" t="n"/>
      <c r="K101" s="40" t="n"/>
      <c r="L101" s="40" t="n"/>
      <c r="M101" s="34" t="n"/>
      <c r="N101" s="36">
        <f>IFERROR(H101/G101*1000,"")</f>
        <v/>
      </c>
      <c r="O101" s="41">
        <f>IFERROR(I101/G101,"")</f>
        <v/>
      </c>
      <c r="P101" s="41">
        <f>IFERROR(J101/G101,"")</f>
        <v/>
      </c>
      <c r="Q101" s="42">
        <f>IFERROR(P101/O101,"")</f>
        <v/>
      </c>
      <c r="R101" s="43">
        <f>IFERROR(K101/J101,"")</f>
        <v/>
      </c>
      <c r="S101" s="37">
        <f>IFERROR(M101/H101,"")</f>
        <v/>
      </c>
      <c r="T101" s="27">
        <f>IF(G101="","",IF(G101&gt;='KPI Benchmarks'!$D$14,"Yes","No"))</f>
        <v/>
      </c>
      <c r="U101" s="44">
        <f>IF(G101="","",IF(T101="No","Running",IF(AND(N(O101)&gt;='KPI Benchmarks'!$D$5,N(Q101)&gt;='KPI Benchmarks'!$D$6,OR(N(L101)&gt;0,N(K101)&gt;0)),"WINNER",IF(AND(N(O101)&gt;='KPI Benchmarks'!$D$5,N(Q101)&gt;='KPI Benchmarks'!$D$6),"Watch","Cut"))))</f>
        <v/>
      </c>
      <c r="V101" s="27">
        <f>IF(U101="WINNER",IF(N(L101)&gt;0,"Prospecting (ASC / interests)","Retargeting candidate"),IF(U101="Watch","Retest or retargeting","" ))</f>
        <v/>
      </c>
      <c r="W101" s="13" t="n"/>
    </row>
    <row r="102">
      <c r="A102" s="13" t="n"/>
      <c r="B102" s="13" t="n"/>
      <c r="C102" s="13" t="n"/>
      <c r="D102" s="13" t="n"/>
      <c r="E102" s="13" t="n"/>
      <c r="F102" s="13" t="n"/>
      <c r="G102" s="40" t="n"/>
      <c r="H102" s="35" t="n"/>
      <c r="I102" s="40" t="n"/>
      <c r="J102" s="40" t="n"/>
      <c r="K102" s="40" t="n"/>
      <c r="L102" s="40" t="n"/>
      <c r="M102" s="34" t="n"/>
      <c r="N102" s="36">
        <f>IFERROR(H102/G102*1000,"")</f>
        <v/>
      </c>
      <c r="O102" s="41">
        <f>IFERROR(I102/G102,"")</f>
        <v/>
      </c>
      <c r="P102" s="41">
        <f>IFERROR(J102/G102,"")</f>
        <v/>
      </c>
      <c r="Q102" s="42">
        <f>IFERROR(P102/O102,"")</f>
        <v/>
      </c>
      <c r="R102" s="43">
        <f>IFERROR(K102/J102,"")</f>
        <v/>
      </c>
      <c r="S102" s="37">
        <f>IFERROR(M102/H102,"")</f>
        <v/>
      </c>
      <c r="T102" s="27">
        <f>IF(G102="","",IF(G102&gt;='KPI Benchmarks'!$D$14,"Yes","No"))</f>
        <v/>
      </c>
      <c r="U102" s="44">
        <f>IF(G102="","",IF(T102="No","Running",IF(AND(N(O102)&gt;='KPI Benchmarks'!$D$5,N(Q102)&gt;='KPI Benchmarks'!$D$6,OR(N(L102)&gt;0,N(K102)&gt;0)),"WINNER",IF(AND(N(O102)&gt;='KPI Benchmarks'!$D$5,N(Q102)&gt;='KPI Benchmarks'!$D$6),"Watch","Cut"))))</f>
        <v/>
      </c>
      <c r="V102" s="27">
        <f>IF(U102="WINNER",IF(N(L102)&gt;0,"Prospecting (ASC / interests)","Retargeting candidate"),IF(U102="Watch","Retest or retargeting","" ))</f>
        <v/>
      </c>
      <c r="W102" s="13" t="n"/>
    </row>
    <row r="103">
      <c r="A103" s="13" t="n"/>
      <c r="B103" s="13" t="n"/>
      <c r="C103" s="13" t="n"/>
      <c r="D103" s="13" t="n"/>
      <c r="E103" s="13" t="n"/>
      <c r="F103" s="13" t="n"/>
      <c r="G103" s="40" t="n"/>
      <c r="H103" s="35" t="n"/>
      <c r="I103" s="40" t="n"/>
      <c r="J103" s="40" t="n"/>
      <c r="K103" s="40" t="n"/>
      <c r="L103" s="40" t="n"/>
      <c r="M103" s="34" t="n"/>
      <c r="N103" s="36">
        <f>IFERROR(H103/G103*1000,"")</f>
        <v/>
      </c>
      <c r="O103" s="41">
        <f>IFERROR(I103/G103,"")</f>
        <v/>
      </c>
      <c r="P103" s="41">
        <f>IFERROR(J103/G103,"")</f>
        <v/>
      </c>
      <c r="Q103" s="42">
        <f>IFERROR(P103/O103,"")</f>
        <v/>
      </c>
      <c r="R103" s="43">
        <f>IFERROR(K103/J103,"")</f>
        <v/>
      </c>
      <c r="S103" s="37">
        <f>IFERROR(M103/H103,"")</f>
        <v/>
      </c>
      <c r="T103" s="27">
        <f>IF(G103="","",IF(G103&gt;='KPI Benchmarks'!$D$14,"Yes","No"))</f>
        <v/>
      </c>
      <c r="U103" s="44">
        <f>IF(G103="","",IF(T103="No","Running",IF(AND(N(O103)&gt;='KPI Benchmarks'!$D$5,N(Q103)&gt;='KPI Benchmarks'!$D$6,OR(N(L103)&gt;0,N(K103)&gt;0)),"WINNER",IF(AND(N(O103)&gt;='KPI Benchmarks'!$D$5,N(Q103)&gt;='KPI Benchmarks'!$D$6),"Watch","Cut"))))</f>
        <v/>
      </c>
      <c r="V103" s="27">
        <f>IF(U103="WINNER",IF(N(L103)&gt;0,"Prospecting (ASC / interests)","Retargeting candidate"),IF(U103="Watch","Retest or retargeting","" ))</f>
        <v/>
      </c>
      <c r="W103" s="13" t="n"/>
    </row>
    <row r="104">
      <c r="A104" s="13" t="n"/>
      <c r="B104" s="13" t="n"/>
      <c r="C104" s="13" t="n"/>
      <c r="D104" s="13" t="n"/>
      <c r="E104" s="13" t="n"/>
      <c r="F104" s="13" t="n"/>
      <c r="G104" s="40" t="n"/>
      <c r="H104" s="35" t="n"/>
      <c r="I104" s="40" t="n"/>
      <c r="J104" s="40" t="n"/>
      <c r="K104" s="40" t="n"/>
      <c r="L104" s="40" t="n"/>
      <c r="M104" s="34" t="n"/>
      <c r="N104" s="36">
        <f>IFERROR(H104/G104*1000,"")</f>
        <v/>
      </c>
      <c r="O104" s="41">
        <f>IFERROR(I104/G104,"")</f>
        <v/>
      </c>
      <c r="P104" s="41">
        <f>IFERROR(J104/G104,"")</f>
        <v/>
      </c>
      <c r="Q104" s="42">
        <f>IFERROR(P104/O104,"")</f>
        <v/>
      </c>
      <c r="R104" s="43">
        <f>IFERROR(K104/J104,"")</f>
        <v/>
      </c>
      <c r="S104" s="37">
        <f>IFERROR(M104/H104,"")</f>
        <v/>
      </c>
      <c r="T104" s="27">
        <f>IF(G104="","",IF(G104&gt;='KPI Benchmarks'!$D$14,"Yes","No"))</f>
        <v/>
      </c>
      <c r="U104" s="44">
        <f>IF(G104="","",IF(T104="No","Running",IF(AND(N(O104)&gt;='KPI Benchmarks'!$D$5,N(Q104)&gt;='KPI Benchmarks'!$D$6,OR(N(L104)&gt;0,N(K104)&gt;0)),"WINNER",IF(AND(N(O104)&gt;='KPI Benchmarks'!$D$5,N(Q104)&gt;='KPI Benchmarks'!$D$6),"Watch","Cut"))))</f>
        <v/>
      </c>
      <c r="V104" s="27">
        <f>IF(U104="WINNER",IF(N(L104)&gt;0,"Prospecting (ASC / interests)","Retargeting candidate"),IF(U104="Watch","Retest or retargeting","" ))</f>
        <v/>
      </c>
      <c r="W104" s="13" t="n"/>
    </row>
    <row r="105">
      <c r="A105" s="13" t="n"/>
      <c r="B105" s="13" t="n"/>
      <c r="C105" s="13" t="n"/>
      <c r="D105" s="13" t="n"/>
      <c r="E105" s="13" t="n"/>
      <c r="F105" s="13" t="n"/>
      <c r="G105" s="40" t="n"/>
      <c r="H105" s="35" t="n"/>
      <c r="I105" s="40" t="n"/>
      <c r="J105" s="40" t="n"/>
      <c r="K105" s="40" t="n"/>
      <c r="L105" s="40" t="n"/>
      <c r="M105" s="34" t="n"/>
      <c r="N105" s="36">
        <f>IFERROR(H105/G105*1000,"")</f>
        <v/>
      </c>
      <c r="O105" s="41">
        <f>IFERROR(I105/G105,"")</f>
        <v/>
      </c>
      <c r="P105" s="41">
        <f>IFERROR(J105/G105,"")</f>
        <v/>
      </c>
      <c r="Q105" s="42">
        <f>IFERROR(P105/O105,"")</f>
        <v/>
      </c>
      <c r="R105" s="43">
        <f>IFERROR(K105/J105,"")</f>
        <v/>
      </c>
      <c r="S105" s="37">
        <f>IFERROR(M105/H105,"")</f>
        <v/>
      </c>
      <c r="T105" s="27">
        <f>IF(G105="","",IF(G105&gt;='KPI Benchmarks'!$D$14,"Yes","No"))</f>
        <v/>
      </c>
      <c r="U105" s="44">
        <f>IF(G105="","",IF(T105="No","Running",IF(AND(N(O105)&gt;='KPI Benchmarks'!$D$5,N(Q105)&gt;='KPI Benchmarks'!$D$6,OR(N(L105)&gt;0,N(K105)&gt;0)),"WINNER",IF(AND(N(O105)&gt;='KPI Benchmarks'!$D$5,N(Q105)&gt;='KPI Benchmarks'!$D$6),"Watch","Cut"))))</f>
        <v/>
      </c>
      <c r="V105" s="27">
        <f>IF(U105="WINNER",IF(N(L105)&gt;0,"Prospecting (ASC / interests)","Retargeting candidate"),IF(U105="Watch","Retest or retargeting","" ))</f>
        <v/>
      </c>
      <c r="W105" s="13" t="n"/>
    </row>
    <row r="106">
      <c r="A106" s="13" t="n"/>
      <c r="B106" s="13" t="n"/>
      <c r="C106" s="13" t="n"/>
      <c r="D106" s="13" t="n"/>
      <c r="E106" s="13" t="n"/>
      <c r="F106" s="13" t="n"/>
      <c r="G106" s="40" t="n"/>
      <c r="H106" s="35" t="n"/>
      <c r="I106" s="40" t="n"/>
      <c r="J106" s="40" t="n"/>
      <c r="K106" s="40" t="n"/>
      <c r="L106" s="40" t="n"/>
      <c r="M106" s="34" t="n"/>
      <c r="N106" s="36">
        <f>IFERROR(H106/G106*1000,"")</f>
        <v/>
      </c>
      <c r="O106" s="41">
        <f>IFERROR(I106/G106,"")</f>
        <v/>
      </c>
      <c r="P106" s="41">
        <f>IFERROR(J106/G106,"")</f>
        <v/>
      </c>
      <c r="Q106" s="42">
        <f>IFERROR(P106/O106,"")</f>
        <v/>
      </c>
      <c r="R106" s="43">
        <f>IFERROR(K106/J106,"")</f>
        <v/>
      </c>
      <c r="S106" s="37">
        <f>IFERROR(M106/H106,"")</f>
        <v/>
      </c>
      <c r="T106" s="27">
        <f>IF(G106="","",IF(G106&gt;='KPI Benchmarks'!$D$14,"Yes","No"))</f>
        <v/>
      </c>
      <c r="U106" s="44">
        <f>IF(G106="","",IF(T106="No","Running",IF(AND(N(O106)&gt;='KPI Benchmarks'!$D$5,N(Q106)&gt;='KPI Benchmarks'!$D$6,OR(N(L106)&gt;0,N(K106)&gt;0)),"WINNER",IF(AND(N(O106)&gt;='KPI Benchmarks'!$D$5,N(Q106)&gt;='KPI Benchmarks'!$D$6),"Watch","Cut"))))</f>
        <v/>
      </c>
      <c r="V106" s="27">
        <f>IF(U106="WINNER",IF(N(L106)&gt;0,"Prospecting (ASC / interests)","Retargeting candidate"),IF(U106="Watch","Retest or retargeting","" ))</f>
        <v/>
      </c>
      <c r="W106" s="13" t="n"/>
    </row>
    <row r="107">
      <c r="A107" s="13" t="n"/>
      <c r="B107" s="13" t="n"/>
      <c r="C107" s="13" t="n"/>
      <c r="D107" s="13" t="n"/>
      <c r="E107" s="13" t="n"/>
      <c r="F107" s="13" t="n"/>
      <c r="G107" s="40" t="n"/>
      <c r="H107" s="35" t="n"/>
      <c r="I107" s="40" t="n"/>
      <c r="J107" s="40" t="n"/>
      <c r="K107" s="40" t="n"/>
      <c r="L107" s="40" t="n"/>
      <c r="M107" s="34" t="n"/>
      <c r="N107" s="36">
        <f>IFERROR(H107/G107*1000,"")</f>
        <v/>
      </c>
      <c r="O107" s="41">
        <f>IFERROR(I107/G107,"")</f>
        <v/>
      </c>
      <c r="P107" s="41">
        <f>IFERROR(J107/G107,"")</f>
        <v/>
      </c>
      <c r="Q107" s="42">
        <f>IFERROR(P107/O107,"")</f>
        <v/>
      </c>
      <c r="R107" s="43">
        <f>IFERROR(K107/J107,"")</f>
        <v/>
      </c>
      <c r="S107" s="37">
        <f>IFERROR(M107/H107,"")</f>
        <v/>
      </c>
      <c r="T107" s="27">
        <f>IF(G107="","",IF(G107&gt;='KPI Benchmarks'!$D$14,"Yes","No"))</f>
        <v/>
      </c>
      <c r="U107" s="44">
        <f>IF(G107="","",IF(T107="No","Running",IF(AND(N(O107)&gt;='KPI Benchmarks'!$D$5,N(Q107)&gt;='KPI Benchmarks'!$D$6,OR(N(L107)&gt;0,N(K107)&gt;0)),"WINNER",IF(AND(N(O107)&gt;='KPI Benchmarks'!$D$5,N(Q107)&gt;='KPI Benchmarks'!$D$6),"Watch","Cut"))))</f>
        <v/>
      </c>
      <c r="V107" s="27">
        <f>IF(U107="WINNER",IF(N(L107)&gt;0,"Prospecting (ASC / interests)","Retargeting candidate"),IF(U107="Watch","Retest or retargeting","" ))</f>
        <v/>
      </c>
      <c r="W107" s="13" t="n"/>
    </row>
    <row r="108">
      <c r="A108" s="13" t="n"/>
      <c r="B108" s="13" t="n"/>
      <c r="C108" s="13" t="n"/>
      <c r="D108" s="13" t="n"/>
      <c r="E108" s="13" t="n"/>
      <c r="F108" s="13" t="n"/>
      <c r="G108" s="40" t="n"/>
      <c r="H108" s="35" t="n"/>
      <c r="I108" s="40" t="n"/>
      <c r="J108" s="40" t="n"/>
      <c r="K108" s="40" t="n"/>
      <c r="L108" s="40" t="n"/>
      <c r="M108" s="34" t="n"/>
      <c r="N108" s="36">
        <f>IFERROR(H108/G108*1000,"")</f>
        <v/>
      </c>
      <c r="O108" s="41">
        <f>IFERROR(I108/G108,"")</f>
        <v/>
      </c>
      <c r="P108" s="41">
        <f>IFERROR(J108/G108,"")</f>
        <v/>
      </c>
      <c r="Q108" s="42">
        <f>IFERROR(P108/O108,"")</f>
        <v/>
      </c>
      <c r="R108" s="43">
        <f>IFERROR(K108/J108,"")</f>
        <v/>
      </c>
      <c r="S108" s="37">
        <f>IFERROR(M108/H108,"")</f>
        <v/>
      </c>
      <c r="T108" s="27">
        <f>IF(G108="","",IF(G108&gt;='KPI Benchmarks'!$D$14,"Yes","No"))</f>
        <v/>
      </c>
      <c r="U108" s="44">
        <f>IF(G108="","",IF(T108="No","Running",IF(AND(N(O108)&gt;='KPI Benchmarks'!$D$5,N(Q108)&gt;='KPI Benchmarks'!$D$6,OR(N(L108)&gt;0,N(K108)&gt;0)),"WINNER",IF(AND(N(O108)&gt;='KPI Benchmarks'!$D$5,N(Q108)&gt;='KPI Benchmarks'!$D$6),"Watch","Cut"))))</f>
        <v/>
      </c>
      <c r="V108" s="27">
        <f>IF(U108="WINNER",IF(N(L108)&gt;0,"Prospecting (ASC / interests)","Retargeting candidate"),IF(U108="Watch","Retest or retargeting","" ))</f>
        <v/>
      </c>
      <c r="W108" s="13" t="n"/>
    </row>
    <row r="109">
      <c r="A109" s="13" t="n"/>
      <c r="B109" s="13" t="n"/>
      <c r="C109" s="13" t="n"/>
      <c r="D109" s="13" t="n"/>
      <c r="E109" s="13" t="n"/>
      <c r="F109" s="13" t="n"/>
      <c r="G109" s="40" t="n"/>
      <c r="H109" s="35" t="n"/>
      <c r="I109" s="40" t="n"/>
      <c r="J109" s="40" t="n"/>
      <c r="K109" s="40" t="n"/>
      <c r="L109" s="40" t="n"/>
      <c r="M109" s="34" t="n"/>
      <c r="N109" s="36">
        <f>IFERROR(H109/G109*1000,"")</f>
        <v/>
      </c>
      <c r="O109" s="41">
        <f>IFERROR(I109/G109,"")</f>
        <v/>
      </c>
      <c r="P109" s="41">
        <f>IFERROR(J109/G109,"")</f>
        <v/>
      </c>
      <c r="Q109" s="42">
        <f>IFERROR(P109/O109,"")</f>
        <v/>
      </c>
      <c r="R109" s="43">
        <f>IFERROR(K109/J109,"")</f>
        <v/>
      </c>
      <c r="S109" s="37">
        <f>IFERROR(M109/H109,"")</f>
        <v/>
      </c>
      <c r="T109" s="27">
        <f>IF(G109="","",IF(G109&gt;='KPI Benchmarks'!$D$14,"Yes","No"))</f>
        <v/>
      </c>
      <c r="U109" s="44">
        <f>IF(G109="","",IF(T109="No","Running",IF(AND(N(O109)&gt;='KPI Benchmarks'!$D$5,N(Q109)&gt;='KPI Benchmarks'!$D$6,OR(N(L109)&gt;0,N(K109)&gt;0)),"WINNER",IF(AND(N(O109)&gt;='KPI Benchmarks'!$D$5,N(Q109)&gt;='KPI Benchmarks'!$D$6),"Watch","Cut"))))</f>
        <v/>
      </c>
      <c r="V109" s="27">
        <f>IF(U109="WINNER",IF(N(L109)&gt;0,"Prospecting (ASC / interests)","Retargeting candidate"),IF(U109="Watch","Retest or retargeting","" ))</f>
        <v/>
      </c>
      <c r="W109" s="13" t="n"/>
    </row>
    <row r="110">
      <c r="A110" s="13" t="n"/>
      <c r="B110" s="13" t="n"/>
      <c r="C110" s="13" t="n"/>
      <c r="D110" s="13" t="n"/>
      <c r="E110" s="13" t="n"/>
      <c r="F110" s="13" t="n"/>
      <c r="G110" s="40" t="n"/>
      <c r="H110" s="35" t="n"/>
      <c r="I110" s="40" t="n"/>
      <c r="J110" s="40" t="n"/>
      <c r="K110" s="40" t="n"/>
      <c r="L110" s="40" t="n"/>
      <c r="M110" s="34" t="n"/>
      <c r="N110" s="36">
        <f>IFERROR(H110/G110*1000,"")</f>
        <v/>
      </c>
      <c r="O110" s="41">
        <f>IFERROR(I110/G110,"")</f>
        <v/>
      </c>
      <c r="P110" s="41">
        <f>IFERROR(J110/G110,"")</f>
        <v/>
      </c>
      <c r="Q110" s="42">
        <f>IFERROR(P110/O110,"")</f>
        <v/>
      </c>
      <c r="R110" s="43">
        <f>IFERROR(K110/J110,"")</f>
        <v/>
      </c>
      <c r="S110" s="37">
        <f>IFERROR(M110/H110,"")</f>
        <v/>
      </c>
      <c r="T110" s="27">
        <f>IF(G110="","",IF(G110&gt;='KPI Benchmarks'!$D$14,"Yes","No"))</f>
        <v/>
      </c>
      <c r="U110" s="44">
        <f>IF(G110="","",IF(T110="No","Running",IF(AND(N(O110)&gt;='KPI Benchmarks'!$D$5,N(Q110)&gt;='KPI Benchmarks'!$D$6,OR(N(L110)&gt;0,N(K110)&gt;0)),"WINNER",IF(AND(N(O110)&gt;='KPI Benchmarks'!$D$5,N(Q110)&gt;='KPI Benchmarks'!$D$6),"Watch","Cut"))))</f>
        <v/>
      </c>
      <c r="V110" s="27">
        <f>IF(U110="WINNER",IF(N(L110)&gt;0,"Prospecting (ASC / interests)","Retargeting candidate"),IF(U110="Watch","Retest or retargeting","" ))</f>
        <v/>
      </c>
      <c r="W110" s="13" t="n"/>
    </row>
    <row r="111">
      <c r="A111" s="13" t="n"/>
      <c r="B111" s="13" t="n"/>
      <c r="C111" s="13" t="n"/>
      <c r="D111" s="13" t="n"/>
      <c r="E111" s="13" t="n"/>
      <c r="F111" s="13" t="n"/>
      <c r="G111" s="40" t="n"/>
      <c r="H111" s="35" t="n"/>
      <c r="I111" s="40" t="n"/>
      <c r="J111" s="40" t="n"/>
      <c r="K111" s="40" t="n"/>
      <c r="L111" s="40" t="n"/>
      <c r="M111" s="34" t="n"/>
      <c r="N111" s="36">
        <f>IFERROR(H111/G111*1000,"")</f>
        <v/>
      </c>
      <c r="O111" s="41">
        <f>IFERROR(I111/G111,"")</f>
        <v/>
      </c>
      <c r="P111" s="41">
        <f>IFERROR(J111/G111,"")</f>
        <v/>
      </c>
      <c r="Q111" s="42">
        <f>IFERROR(P111/O111,"")</f>
        <v/>
      </c>
      <c r="R111" s="43">
        <f>IFERROR(K111/J111,"")</f>
        <v/>
      </c>
      <c r="S111" s="37">
        <f>IFERROR(M111/H111,"")</f>
        <v/>
      </c>
      <c r="T111" s="27">
        <f>IF(G111="","",IF(G111&gt;='KPI Benchmarks'!$D$14,"Yes","No"))</f>
        <v/>
      </c>
      <c r="U111" s="44">
        <f>IF(G111="","",IF(T111="No","Running",IF(AND(N(O111)&gt;='KPI Benchmarks'!$D$5,N(Q111)&gt;='KPI Benchmarks'!$D$6,OR(N(L111)&gt;0,N(K111)&gt;0)),"WINNER",IF(AND(N(O111)&gt;='KPI Benchmarks'!$D$5,N(Q111)&gt;='KPI Benchmarks'!$D$6),"Watch","Cut"))))</f>
        <v/>
      </c>
      <c r="V111" s="27">
        <f>IF(U111="WINNER",IF(N(L111)&gt;0,"Prospecting (ASC / interests)","Retargeting candidate"),IF(U111="Watch","Retest or retargeting","" ))</f>
        <v/>
      </c>
      <c r="W111" s="13" t="n"/>
    </row>
    <row r="112">
      <c r="A112" s="13" t="n"/>
      <c r="B112" s="13" t="n"/>
      <c r="C112" s="13" t="n"/>
      <c r="D112" s="13" t="n"/>
      <c r="E112" s="13" t="n"/>
      <c r="F112" s="13" t="n"/>
      <c r="G112" s="40" t="n"/>
      <c r="H112" s="35" t="n"/>
      <c r="I112" s="40" t="n"/>
      <c r="J112" s="40" t="n"/>
      <c r="K112" s="40" t="n"/>
      <c r="L112" s="40" t="n"/>
      <c r="M112" s="34" t="n"/>
      <c r="N112" s="36">
        <f>IFERROR(H112/G112*1000,"")</f>
        <v/>
      </c>
      <c r="O112" s="41">
        <f>IFERROR(I112/G112,"")</f>
        <v/>
      </c>
      <c r="P112" s="41">
        <f>IFERROR(J112/G112,"")</f>
        <v/>
      </c>
      <c r="Q112" s="42">
        <f>IFERROR(P112/O112,"")</f>
        <v/>
      </c>
      <c r="R112" s="43">
        <f>IFERROR(K112/J112,"")</f>
        <v/>
      </c>
      <c r="S112" s="37">
        <f>IFERROR(M112/H112,"")</f>
        <v/>
      </c>
      <c r="T112" s="27">
        <f>IF(G112="","",IF(G112&gt;='KPI Benchmarks'!$D$14,"Yes","No"))</f>
        <v/>
      </c>
      <c r="U112" s="44">
        <f>IF(G112="","",IF(T112="No","Running",IF(AND(N(O112)&gt;='KPI Benchmarks'!$D$5,N(Q112)&gt;='KPI Benchmarks'!$D$6,OR(N(L112)&gt;0,N(K112)&gt;0)),"WINNER",IF(AND(N(O112)&gt;='KPI Benchmarks'!$D$5,N(Q112)&gt;='KPI Benchmarks'!$D$6),"Watch","Cut"))))</f>
        <v/>
      </c>
      <c r="V112" s="27">
        <f>IF(U112="WINNER",IF(N(L112)&gt;0,"Prospecting (ASC / interests)","Retargeting candidate"),IF(U112="Watch","Retest or retargeting","" ))</f>
        <v/>
      </c>
      <c r="W112" s="13" t="n"/>
    </row>
    <row r="113">
      <c r="A113" s="13" t="n"/>
      <c r="B113" s="13" t="n"/>
      <c r="C113" s="13" t="n"/>
      <c r="D113" s="13" t="n"/>
      <c r="E113" s="13" t="n"/>
      <c r="F113" s="13" t="n"/>
      <c r="G113" s="40" t="n"/>
      <c r="H113" s="35" t="n"/>
      <c r="I113" s="40" t="n"/>
      <c r="J113" s="40" t="n"/>
      <c r="K113" s="40" t="n"/>
      <c r="L113" s="40" t="n"/>
      <c r="M113" s="34" t="n"/>
      <c r="N113" s="36">
        <f>IFERROR(H113/G113*1000,"")</f>
        <v/>
      </c>
      <c r="O113" s="41">
        <f>IFERROR(I113/G113,"")</f>
        <v/>
      </c>
      <c r="P113" s="41">
        <f>IFERROR(J113/G113,"")</f>
        <v/>
      </c>
      <c r="Q113" s="42">
        <f>IFERROR(P113/O113,"")</f>
        <v/>
      </c>
      <c r="R113" s="43">
        <f>IFERROR(K113/J113,"")</f>
        <v/>
      </c>
      <c r="S113" s="37">
        <f>IFERROR(M113/H113,"")</f>
        <v/>
      </c>
      <c r="T113" s="27">
        <f>IF(G113="","",IF(G113&gt;='KPI Benchmarks'!$D$14,"Yes","No"))</f>
        <v/>
      </c>
      <c r="U113" s="44">
        <f>IF(G113="","",IF(T113="No","Running",IF(AND(N(O113)&gt;='KPI Benchmarks'!$D$5,N(Q113)&gt;='KPI Benchmarks'!$D$6,OR(N(L113)&gt;0,N(K113)&gt;0)),"WINNER",IF(AND(N(O113)&gt;='KPI Benchmarks'!$D$5,N(Q113)&gt;='KPI Benchmarks'!$D$6),"Watch","Cut"))))</f>
        <v/>
      </c>
      <c r="V113" s="27">
        <f>IF(U113="WINNER",IF(N(L113)&gt;0,"Prospecting (ASC / interests)","Retargeting candidate"),IF(U113="Watch","Retest or retargeting","" ))</f>
        <v/>
      </c>
      <c r="W113" s="13" t="n"/>
    </row>
    <row r="114">
      <c r="A114" s="13" t="n"/>
      <c r="B114" s="13" t="n"/>
      <c r="C114" s="13" t="n"/>
      <c r="D114" s="13" t="n"/>
      <c r="E114" s="13" t="n"/>
      <c r="F114" s="13" t="n"/>
      <c r="G114" s="40" t="n"/>
      <c r="H114" s="35" t="n"/>
      <c r="I114" s="40" t="n"/>
      <c r="J114" s="40" t="n"/>
      <c r="K114" s="40" t="n"/>
      <c r="L114" s="40" t="n"/>
      <c r="M114" s="34" t="n"/>
      <c r="N114" s="36">
        <f>IFERROR(H114/G114*1000,"")</f>
        <v/>
      </c>
      <c r="O114" s="41">
        <f>IFERROR(I114/G114,"")</f>
        <v/>
      </c>
      <c r="P114" s="41">
        <f>IFERROR(J114/G114,"")</f>
        <v/>
      </c>
      <c r="Q114" s="42">
        <f>IFERROR(P114/O114,"")</f>
        <v/>
      </c>
      <c r="R114" s="43">
        <f>IFERROR(K114/J114,"")</f>
        <v/>
      </c>
      <c r="S114" s="37">
        <f>IFERROR(M114/H114,"")</f>
        <v/>
      </c>
      <c r="T114" s="27">
        <f>IF(G114="","",IF(G114&gt;='KPI Benchmarks'!$D$14,"Yes","No"))</f>
        <v/>
      </c>
      <c r="U114" s="44">
        <f>IF(G114="","",IF(T114="No","Running",IF(AND(N(O114)&gt;='KPI Benchmarks'!$D$5,N(Q114)&gt;='KPI Benchmarks'!$D$6,OR(N(L114)&gt;0,N(K114)&gt;0)),"WINNER",IF(AND(N(O114)&gt;='KPI Benchmarks'!$D$5,N(Q114)&gt;='KPI Benchmarks'!$D$6),"Watch","Cut"))))</f>
        <v/>
      </c>
      <c r="V114" s="27">
        <f>IF(U114="WINNER",IF(N(L114)&gt;0,"Prospecting (ASC / interests)","Retargeting candidate"),IF(U114="Watch","Retest or retargeting","" ))</f>
        <v/>
      </c>
      <c r="W114" s="13" t="n"/>
    </row>
    <row r="115">
      <c r="A115" s="13" t="n"/>
      <c r="B115" s="13" t="n"/>
      <c r="C115" s="13" t="n"/>
      <c r="D115" s="13" t="n"/>
      <c r="E115" s="13" t="n"/>
      <c r="F115" s="13" t="n"/>
      <c r="G115" s="40" t="n"/>
      <c r="H115" s="35" t="n"/>
      <c r="I115" s="40" t="n"/>
      <c r="J115" s="40" t="n"/>
      <c r="K115" s="40" t="n"/>
      <c r="L115" s="40" t="n"/>
      <c r="M115" s="34" t="n"/>
      <c r="N115" s="36">
        <f>IFERROR(H115/G115*1000,"")</f>
        <v/>
      </c>
      <c r="O115" s="41">
        <f>IFERROR(I115/G115,"")</f>
        <v/>
      </c>
      <c r="P115" s="41">
        <f>IFERROR(J115/G115,"")</f>
        <v/>
      </c>
      <c r="Q115" s="42">
        <f>IFERROR(P115/O115,"")</f>
        <v/>
      </c>
      <c r="R115" s="43">
        <f>IFERROR(K115/J115,"")</f>
        <v/>
      </c>
      <c r="S115" s="37">
        <f>IFERROR(M115/H115,"")</f>
        <v/>
      </c>
      <c r="T115" s="27">
        <f>IF(G115="","",IF(G115&gt;='KPI Benchmarks'!$D$14,"Yes","No"))</f>
        <v/>
      </c>
      <c r="U115" s="44">
        <f>IF(G115="","",IF(T115="No","Running",IF(AND(N(O115)&gt;='KPI Benchmarks'!$D$5,N(Q115)&gt;='KPI Benchmarks'!$D$6,OR(N(L115)&gt;0,N(K115)&gt;0)),"WINNER",IF(AND(N(O115)&gt;='KPI Benchmarks'!$D$5,N(Q115)&gt;='KPI Benchmarks'!$D$6),"Watch","Cut"))))</f>
        <v/>
      </c>
      <c r="V115" s="27">
        <f>IF(U115="WINNER",IF(N(L115)&gt;0,"Prospecting (ASC / interests)","Retargeting candidate"),IF(U115="Watch","Retest or retargeting","" ))</f>
        <v/>
      </c>
      <c r="W115" s="13" t="n"/>
    </row>
    <row r="116">
      <c r="A116" s="13" t="n"/>
      <c r="B116" s="13" t="n"/>
      <c r="C116" s="13" t="n"/>
      <c r="D116" s="13" t="n"/>
      <c r="E116" s="13" t="n"/>
      <c r="F116" s="13" t="n"/>
      <c r="G116" s="40" t="n"/>
      <c r="H116" s="35" t="n"/>
      <c r="I116" s="40" t="n"/>
      <c r="J116" s="40" t="n"/>
      <c r="K116" s="40" t="n"/>
      <c r="L116" s="40" t="n"/>
      <c r="M116" s="34" t="n"/>
      <c r="N116" s="36">
        <f>IFERROR(H116/G116*1000,"")</f>
        <v/>
      </c>
      <c r="O116" s="41">
        <f>IFERROR(I116/G116,"")</f>
        <v/>
      </c>
      <c r="P116" s="41">
        <f>IFERROR(J116/G116,"")</f>
        <v/>
      </c>
      <c r="Q116" s="42">
        <f>IFERROR(P116/O116,"")</f>
        <v/>
      </c>
      <c r="R116" s="43">
        <f>IFERROR(K116/J116,"")</f>
        <v/>
      </c>
      <c r="S116" s="37">
        <f>IFERROR(M116/H116,"")</f>
        <v/>
      </c>
      <c r="T116" s="27">
        <f>IF(G116="","",IF(G116&gt;='KPI Benchmarks'!$D$14,"Yes","No"))</f>
        <v/>
      </c>
      <c r="U116" s="44">
        <f>IF(G116="","",IF(T116="No","Running",IF(AND(N(O116)&gt;='KPI Benchmarks'!$D$5,N(Q116)&gt;='KPI Benchmarks'!$D$6,OR(N(L116)&gt;0,N(K116)&gt;0)),"WINNER",IF(AND(N(O116)&gt;='KPI Benchmarks'!$D$5,N(Q116)&gt;='KPI Benchmarks'!$D$6),"Watch","Cut"))))</f>
        <v/>
      </c>
      <c r="V116" s="27">
        <f>IF(U116="WINNER",IF(N(L116)&gt;0,"Prospecting (ASC / interests)","Retargeting candidate"),IF(U116="Watch","Retest or retargeting","" ))</f>
        <v/>
      </c>
      <c r="W116" s="13" t="n"/>
    </row>
    <row r="117">
      <c r="A117" s="13" t="n"/>
      <c r="B117" s="13" t="n"/>
      <c r="C117" s="13" t="n"/>
      <c r="D117" s="13" t="n"/>
      <c r="E117" s="13" t="n"/>
      <c r="F117" s="13" t="n"/>
      <c r="G117" s="40" t="n"/>
      <c r="H117" s="35" t="n"/>
      <c r="I117" s="40" t="n"/>
      <c r="J117" s="40" t="n"/>
      <c r="K117" s="40" t="n"/>
      <c r="L117" s="40" t="n"/>
      <c r="M117" s="34" t="n"/>
      <c r="N117" s="36">
        <f>IFERROR(H117/G117*1000,"")</f>
        <v/>
      </c>
      <c r="O117" s="41">
        <f>IFERROR(I117/G117,"")</f>
        <v/>
      </c>
      <c r="P117" s="41">
        <f>IFERROR(J117/G117,"")</f>
        <v/>
      </c>
      <c r="Q117" s="42">
        <f>IFERROR(P117/O117,"")</f>
        <v/>
      </c>
      <c r="R117" s="43">
        <f>IFERROR(K117/J117,"")</f>
        <v/>
      </c>
      <c r="S117" s="37">
        <f>IFERROR(M117/H117,"")</f>
        <v/>
      </c>
      <c r="T117" s="27">
        <f>IF(G117="","",IF(G117&gt;='KPI Benchmarks'!$D$14,"Yes","No"))</f>
        <v/>
      </c>
      <c r="U117" s="44">
        <f>IF(G117="","",IF(T117="No","Running",IF(AND(N(O117)&gt;='KPI Benchmarks'!$D$5,N(Q117)&gt;='KPI Benchmarks'!$D$6,OR(N(L117)&gt;0,N(K117)&gt;0)),"WINNER",IF(AND(N(O117)&gt;='KPI Benchmarks'!$D$5,N(Q117)&gt;='KPI Benchmarks'!$D$6),"Watch","Cut"))))</f>
        <v/>
      </c>
      <c r="V117" s="27">
        <f>IF(U117="WINNER",IF(N(L117)&gt;0,"Prospecting (ASC / interests)","Retargeting candidate"),IF(U117="Watch","Retest or retargeting","" ))</f>
        <v/>
      </c>
      <c r="W117" s="13" t="n"/>
    </row>
    <row r="118">
      <c r="A118" s="13" t="n"/>
      <c r="B118" s="13" t="n"/>
      <c r="C118" s="13" t="n"/>
      <c r="D118" s="13" t="n"/>
      <c r="E118" s="13" t="n"/>
      <c r="F118" s="13" t="n"/>
      <c r="G118" s="40" t="n"/>
      <c r="H118" s="35" t="n"/>
      <c r="I118" s="40" t="n"/>
      <c r="J118" s="40" t="n"/>
      <c r="K118" s="40" t="n"/>
      <c r="L118" s="40" t="n"/>
      <c r="M118" s="34" t="n"/>
      <c r="N118" s="36">
        <f>IFERROR(H118/G118*1000,"")</f>
        <v/>
      </c>
      <c r="O118" s="41">
        <f>IFERROR(I118/G118,"")</f>
        <v/>
      </c>
      <c r="P118" s="41">
        <f>IFERROR(J118/G118,"")</f>
        <v/>
      </c>
      <c r="Q118" s="42">
        <f>IFERROR(P118/O118,"")</f>
        <v/>
      </c>
      <c r="R118" s="43">
        <f>IFERROR(K118/J118,"")</f>
        <v/>
      </c>
      <c r="S118" s="37">
        <f>IFERROR(M118/H118,"")</f>
        <v/>
      </c>
      <c r="T118" s="27">
        <f>IF(G118="","",IF(G118&gt;='KPI Benchmarks'!$D$14,"Yes","No"))</f>
        <v/>
      </c>
      <c r="U118" s="44">
        <f>IF(G118="","",IF(T118="No","Running",IF(AND(N(O118)&gt;='KPI Benchmarks'!$D$5,N(Q118)&gt;='KPI Benchmarks'!$D$6,OR(N(L118)&gt;0,N(K118)&gt;0)),"WINNER",IF(AND(N(O118)&gt;='KPI Benchmarks'!$D$5,N(Q118)&gt;='KPI Benchmarks'!$D$6),"Watch","Cut"))))</f>
        <v/>
      </c>
      <c r="V118" s="27">
        <f>IF(U118="WINNER",IF(N(L118)&gt;0,"Prospecting (ASC / interests)","Retargeting candidate"),IF(U118="Watch","Retest or retargeting","" ))</f>
        <v/>
      </c>
      <c r="W118" s="13" t="n"/>
    </row>
    <row r="119">
      <c r="A119" s="13" t="n"/>
      <c r="B119" s="13" t="n"/>
      <c r="C119" s="13" t="n"/>
      <c r="D119" s="13" t="n"/>
      <c r="E119" s="13" t="n"/>
      <c r="F119" s="13" t="n"/>
      <c r="G119" s="40" t="n"/>
      <c r="H119" s="35" t="n"/>
      <c r="I119" s="40" t="n"/>
      <c r="J119" s="40" t="n"/>
      <c r="K119" s="40" t="n"/>
      <c r="L119" s="40" t="n"/>
      <c r="M119" s="34" t="n"/>
      <c r="N119" s="36">
        <f>IFERROR(H119/G119*1000,"")</f>
        <v/>
      </c>
      <c r="O119" s="41">
        <f>IFERROR(I119/G119,"")</f>
        <v/>
      </c>
      <c r="P119" s="41">
        <f>IFERROR(J119/G119,"")</f>
        <v/>
      </c>
      <c r="Q119" s="42">
        <f>IFERROR(P119/O119,"")</f>
        <v/>
      </c>
      <c r="R119" s="43">
        <f>IFERROR(K119/J119,"")</f>
        <v/>
      </c>
      <c r="S119" s="37">
        <f>IFERROR(M119/H119,"")</f>
        <v/>
      </c>
      <c r="T119" s="27">
        <f>IF(G119="","",IF(G119&gt;='KPI Benchmarks'!$D$14,"Yes","No"))</f>
        <v/>
      </c>
      <c r="U119" s="44">
        <f>IF(G119="","",IF(T119="No","Running",IF(AND(N(O119)&gt;='KPI Benchmarks'!$D$5,N(Q119)&gt;='KPI Benchmarks'!$D$6,OR(N(L119)&gt;0,N(K119)&gt;0)),"WINNER",IF(AND(N(O119)&gt;='KPI Benchmarks'!$D$5,N(Q119)&gt;='KPI Benchmarks'!$D$6),"Watch","Cut"))))</f>
        <v/>
      </c>
      <c r="V119" s="27">
        <f>IF(U119="WINNER",IF(N(L119)&gt;0,"Prospecting (ASC / interests)","Retargeting candidate"),IF(U119="Watch","Retest or retargeting","" ))</f>
        <v/>
      </c>
      <c r="W119" s="13" t="n"/>
    </row>
    <row r="120">
      <c r="A120" s="13" t="n"/>
      <c r="B120" s="13" t="n"/>
      <c r="C120" s="13" t="n"/>
      <c r="D120" s="13" t="n"/>
      <c r="E120" s="13" t="n"/>
      <c r="F120" s="13" t="n"/>
      <c r="G120" s="40" t="n"/>
      <c r="H120" s="35" t="n"/>
      <c r="I120" s="40" t="n"/>
      <c r="J120" s="40" t="n"/>
      <c r="K120" s="40" t="n"/>
      <c r="L120" s="40" t="n"/>
      <c r="M120" s="34" t="n"/>
      <c r="N120" s="36">
        <f>IFERROR(H120/G120*1000,"")</f>
        <v/>
      </c>
      <c r="O120" s="41">
        <f>IFERROR(I120/G120,"")</f>
        <v/>
      </c>
      <c r="P120" s="41">
        <f>IFERROR(J120/G120,"")</f>
        <v/>
      </c>
      <c r="Q120" s="42">
        <f>IFERROR(P120/O120,"")</f>
        <v/>
      </c>
      <c r="R120" s="43">
        <f>IFERROR(K120/J120,"")</f>
        <v/>
      </c>
      <c r="S120" s="37">
        <f>IFERROR(M120/H120,"")</f>
        <v/>
      </c>
      <c r="T120" s="27">
        <f>IF(G120="","",IF(G120&gt;='KPI Benchmarks'!$D$14,"Yes","No"))</f>
        <v/>
      </c>
      <c r="U120" s="44">
        <f>IF(G120="","",IF(T120="No","Running",IF(AND(N(O120)&gt;='KPI Benchmarks'!$D$5,N(Q120)&gt;='KPI Benchmarks'!$D$6,OR(N(L120)&gt;0,N(K120)&gt;0)),"WINNER",IF(AND(N(O120)&gt;='KPI Benchmarks'!$D$5,N(Q120)&gt;='KPI Benchmarks'!$D$6),"Watch","Cut"))))</f>
        <v/>
      </c>
      <c r="V120" s="27">
        <f>IF(U120="WINNER",IF(N(L120)&gt;0,"Prospecting (ASC / interests)","Retargeting candidate"),IF(U120="Watch","Retest or retargeting","" ))</f>
        <v/>
      </c>
      <c r="W120" s="13" t="n"/>
    </row>
    <row r="121">
      <c r="A121" s="13" t="n"/>
      <c r="B121" s="13" t="n"/>
      <c r="C121" s="13" t="n"/>
      <c r="D121" s="13" t="n"/>
      <c r="E121" s="13" t="n"/>
      <c r="F121" s="13" t="n"/>
      <c r="G121" s="40" t="n"/>
      <c r="H121" s="35" t="n"/>
      <c r="I121" s="40" t="n"/>
      <c r="J121" s="40" t="n"/>
      <c r="K121" s="40" t="n"/>
      <c r="L121" s="40" t="n"/>
      <c r="M121" s="34" t="n"/>
      <c r="N121" s="36">
        <f>IFERROR(H121/G121*1000,"")</f>
        <v/>
      </c>
      <c r="O121" s="41">
        <f>IFERROR(I121/G121,"")</f>
        <v/>
      </c>
      <c r="P121" s="41">
        <f>IFERROR(J121/G121,"")</f>
        <v/>
      </c>
      <c r="Q121" s="42">
        <f>IFERROR(P121/O121,"")</f>
        <v/>
      </c>
      <c r="R121" s="43">
        <f>IFERROR(K121/J121,"")</f>
        <v/>
      </c>
      <c r="S121" s="37">
        <f>IFERROR(M121/H121,"")</f>
        <v/>
      </c>
      <c r="T121" s="27">
        <f>IF(G121="","",IF(G121&gt;='KPI Benchmarks'!$D$14,"Yes","No"))</f>
        <v/>
      </c>
      <c r="U121" s="44">
        <f>IF(G121="","",IF(T121="No","Running",IF(AND(N(O121)&gt;='KPI Benchmarks'!$D$5,N(Q121)&gt;='KPI Benchmarks'!$D$6,OR(N(L121)&gt;0,N(K121)&gt;0)),"WINNER",IF(AND(N(O121)&gt;='KPI Benchmarks'!$D$5,N(Q121)&gt;='KPI Benchmarks'!$D$6),"Watch","Cut"))))</f>
        <v/>
      </c>
      <c r="V121" s="27">
        <f>IF(U121="WINNER",IF(N(L121)&gt;0,"Prospecting (ASC / interests)","Retargeting candidate"),IF(U121="Watch","Retest or retargeting","" ))</f>
        <v/>
      </c>
      <c r="W121" s="13" t="n"/>
    </row>
    <row r="122">
      <c r="A122" s="13" t="n"/>
      <c r="B122" s="13" t="n"/>
      <c r="C122" s="13" t="n"/>
      <c r="D122" s="13" t="n"/>
      <c r="E122" s="13" t="n"/>
      <c r="F122" s="13" t="n"/>
      <c r="G122" s="40" t="n"/>
      <c r="H122" s="35" t="n"/>
      <c r="I122" s="40" t="n"/>
      <c r="J122" s="40" t="n"/>
      <c r="K122" s="40" t="n"/>
      <c r="L122" s="40" t="n"/>
      <c r="M122" s="34" t="n"/>
      <c r="N122" s="36">
        <f>IFERROR(H122/G122*1000,"")</f>
        <v/>
      </c>
      <c r="O122" s="41">
        <f>IFERROR(I122/G122,"")</f>
        <v/>
      </c>
      <c r="P122" s="41">
        <f>IFERROR(J122/G122,"")</f>
        <v/>
      </c>
      <c r="Q122" s="42">
        <f>IFERROR(P122/O122,"")</f>
        <v/>
      </c>
      <c r="R122" s="43">
        <f>IFERROR(K122/J122,"")</f>
        <v/>
      </c>
      <c r="S122" s="37">
        <f>IFERROR(M122/H122,"")</f>
        <v/>
      </c>
      <c r="T122" s="27">
        <f>IF(G122="","",IF(G122&gt;='KPI Benchmarks'!$D$14,"Yes","No"))</f>
        <v/>
      </c>
      <c r="U122" s="44">
        <f>IF(G122="","",IF(T122="No","Running",IF(AND(N(O122)&gt;='KPI Benchmarks'!$D$5,N(Q122)&gt;='KPI Benchmarks'!$D$6,OR(N(L122)&gt;0,N(K122)&gt;0)),"WINNER",IF(AND(N(O122)&gt;='KPI Benchmarks'!$D$5,N(Q122)&gt;='KPI Benchmarks'!$D$6),"Watch","Cut"))))</f>
        <v/>
      </c>
      <c r="V122" s="27">
        <f>IF(U122="WINNER",IF(N(L122)&gt;0,"Prospecting (ASC / interests)","Retargeting candidate"),IF(U122="Watch","Retest or retargeting","" ))</f>
        <v/>
      </c>
      <c r="W122" s="13" t="n"/>
    </row>
    <row r="123">
      <c r="A123" s="13" t="n"/>
      <c r="B123" s="13" t="n"/>
      <c r="C123" s="13" t="n"/>
      <c r="D123" s="13" t="n"/>
      <c r="E123" s="13" t="n"/>
      <c r="F123" s="13" t="n"/>
      <c r="G123" s="40" t="n"/>
      <c r="H123" s="35" t="n"/>
      <c r="I123" s="40" t="n"/>
      <c r="J123" s="40" t="n"/>
      <c r="K123" s="40" t="n"/>
      <c r="L123" s="40" t="n"/>
      <c r="M123" s="34" t="n"/>
      <c r="N123" s="36">
        <f>IFERROR(H123/G123*1000,"")</f>
        <v/>
      </c>
      <c r="O123" s="41">
        <f>IFERROR(I123/G123,"")</f>
        <v/>
      </c>
      <c r="P123" s="41">
        <f>IFERROR(J123/G123,"")</f>
        <v/>
      </c>
      <c r="Q123" s="42">
        <f>IFERROR(P123/O123,"")</f>
        <v/>
      </c>
      <c r="R123" s="43">
        <f>IFERROR(K123/J123,"")</f>
        <v/>
      </c>
      <c r="S123" s="37">
        <f>IFERROR(M123/H123,"")</f>
        <v/>
      </c>
      <c r="T123" s="27">
        <f>IF(G123="","",IF(G123&gt;='KPI Benchmarks'!$D$14,"Yes","No"))</f>
        <v/>
      </c>
      <c r="U123" s="44">
        <f>IF(G123="","",IF(T123="No","Running",IF(AND(N(O123)&gt;='KPI Benchmarks'!$D$5,N(Q123)&gt;='KPI Benchmarks'!$D$6,OR(N(L123)&gt;0,N(K123)&gt;0)),"WINNER",IF(AND(N(O123)&gt;='KPI Benchmarks'!$D$5,N(Q123)&gt;='KPI Benchmarks'!$D$6),"Watch","Cut"))))</f>
        <v/>
      </c>
      <c r="V123" s="27">
        <f>IF(U123="WINNER",IF(N(L123)&gt;0,"Prospecting (ASC / interests)","Retargeting candidate"),IF(U123="Watch","Retest or retargeting","" ))</f>
        <v/>
      </c>
      <c r="W123" s="13" t="n"/>
    </row>
    <row r="124">
      <c r="A124" s="13" t="n"/>
      <c r="B124" s="13" t="n"/>
      <c r="C124" s="13" t="n"/>
      <c r="D124" s="13" t="n"/>
      <c r="E124" s="13" t="n"/>
      <c r="F124" s="13" t="n"/>
      <c r="G124" s="40" t="n"/>
      <c r="H124" s="35" t="n"/>
      <c r="I124" s="40" t="n"/>
      <c r="J124" s="40" t="n"/>
      <c r="K124" s="40" t="n"/>
      <c r="L124" s="40" t="n"/>
      <c r="M124" s="34" t="n"/>
      <c r="N124" s="36">
        <f>IFERROR(H124/G124*1000,"")</f>
        <v/>
      </c>
      <c r="O124" s="41">
        <f>IFERROR(I124/G124,"")</f>
        <v/>
      </c>
      <c r="P124" s="41">
        <f>IFERROR(J124/G124,"")</f>
        <v/>
      </c>
      <c r="Q124" s="42">
        <f>IFERROR(P124/O124,"")</f>
        <v/>
      </c>
      <c r="R124" s="43">
        <f>IFERROR(K124/J124,"")</f>
        <v/>
      </c>
      <c r="S124" s="37">
        <f>IFERROR(M124/H124,"")</f>
        <v/>
      </c>
      <c r="T124" s="27">
        <f>IF(G124="","",IF(G124&gt;='KPI Benchmarks'!$D$14,"Yes","No"))</f>
        <v/>
      </c>
      <c r="U124" s="44">
        <f>IF(G124="","",IF(T124="No","Running",IF(AND(N(O124)&gt;='KPI Benchmarks'!$D$5,N(Q124)&gt;='KPI Benchmarks'!$D$6,OR(N(L124)&gt;0,N(K124)&gt;0)),"WINNER",IF(AND(N(O124)&gt;='KPI Benchmarks'!$D$5,N(Q124)&gt;='KPI Benchmarks'!$D$6),"Watch","Cut"))))</f>
        <v/>
      </c>
      <c r="V124" s="27">
        <f>IF(U124="WINNER",IF(N(L124)&gt;0,"Prospecting (ASC / interests)","Retargeting candidate"),IF(U124="Watch","Retest or retargeting","" ))</f>
        <v/>
      </c>
      <c r="W124" s="13" t="n"/>
    </row>
    <row r="125">
      <c r="A125" s="13" t="n"/>
      <c r="B125" s="13" t="n"/>
      <c r="C125" s="13" t="n"/>
      <c r="D125" s="13" t="n"/>
      <c r="E125" s="13" t="n"/>
      <c r="F125" s="13" t="n"/>
      <c r="G125" s="40" t="n"/>
      <c r="H125" s="35" t="n"/>
      <c r="I125" s="40" t="n"/>
      <c r="J125" s="40" t="n"/>
      <c r="K125" s="40" t="n"/>
      <c r="L125" s="40" t="n"/>
      <c r="M125" s="34" t="n"/>
      <c r="N125" s="36">
        <f>IFERROR(H125/G125*1000,"")</f>
        <v/>
      </c>
      <c r="O125" s="41">
        <f>IFERROR(I125/G125,"")</f>
        <v/>
      </c>
      <c r="P125" s="41">
        <f>IFERROR(J125/G125,"")</f>
        <v/>
      </c>
      <c r="Q125" s="42">
        <f>IFERROR(P125/O125,"")</f>
        <v/>
      </c>
      <c r="R125" s="43">
        <f>IFERROR(K125/J125,"")</f>
        <v/>
      </c>
      <c r="S125" s="37">
        <f>IFERROR(M125/H125,"")</f>
        <v/>
      </c>
      <c r="T125" s="27">
        <f>IF(G125="","",IF(G125&gt;='KPI Benchmarks'!$D$14,"Yes","No"))</f>
        <v/>
      </c>
      <c r="U125" s="44">
        <f>IF(G125="","",IF(T125="No","Running",IF(AND(N(O125)&gt;='KPI Benchmarks'!$D$5,N(Q125)&gt;='KPI Benchmarks'!$D$6,OR(N(L125)&gt;0,N(K125)&gt;0)),"WINNER",IF(AND(N(O125)&gt;='KPI Benchmarks'!$D$5,N(Q125)&gt;='KPI Benchmarks'!$D$6),"Watch","Cut"))))</f>
        <v/>
      </c>
      <c r="V125" s="27">
        <f>IF(U125="WINNER",IF(N(L125)&gt;0,"Prospecting (ASC / interests)","Retargeting candidate"),IF(U125="Watch","Retest or retargeting","" ))</f>
        <v/>
      </c>
      <c r="W125" s="13" t="n"/>
    </row>
    <row r="126">
      <c r="A126" s="13" t="n"/>
      <c r="B126" s="13" t="n"/>
      <c r="C126" s="13" t="n"/>
      <c r="D126" s="13" t="n"/>
      <c r="E126" s="13" t="n"/>
      <c r="F126" s="13" t="n"/>
      <c r="G126" s="40" t="n"/>
      <c r="H126" s="35" t="n"/>
      <c r="I126" s="40" t="n"/>
      <c r="J126" s="40" t="n"/>
      <c r="K126" s="40" t="n"/>
      <c r="L126" s="40" t="n"/>
      <c r="M126" s="34" t="n"/>
      <c r="N126" s="36">
        <f>IFERROR(H126/G126*1000,"")</f>
        <v/>
      </c>
      <c r="O126" s="41">
        <f>IFERROR(I126/G126,"")</f>
        <v/>
      </c>
      <c r="P126" s="41">
        <f>IFERROR(J126/G126,"")</f>
        <v/>
      </c>
      <c r="Q126" s="42">
        <f>IFERROR(P126/O126,"")</f>
        <v/>
      </c>
      <c r="R126" s="43">
        <f>IFERROR(K126/J126,"")</f>
        <v/>
      </c>
      <c r="S126" s="37">
        <f>IFERROR(M126/H126,"")</f>
        <v/>
      </c>
      <c r="T126" s="27">
        <f>IF(G126="","",IF(G126&gt;='KPI Benchmarks'!$D$14,"Yes","No"))</f>
        <v/>
      </c>
      <c r="U126" s="44">
        <f>IF(G126="","",IF(T126="No","Running",IF(AND(N(O126)&gt;='KPI Benchmarks'!$D$5,N(Q126)&gt;='KPI Benchmarks'!$D$6,OR(N(L126)&gt;0,N(K126)&gt;0)),"WINNER",IF(AND(N(O126)&gt;='KPI Benchmarks'!$D$5,N(Q126)&gt;='KPI Benchmarks'!$D$6),"Watch","Cut"))))</f>
        <v/>
      </c>
      <c r="V126" s="27">
        <f>IF(U126="WINNER",IF(N(L126)&gt;0,"Prospecting (ASC / interests)","Retargeting candidate"),IF(U126="Watch","Retest or retargeting","" ))</f>
        <v/>
      </c>
      <c r="W126" s="13" t="n"/>
    </row>
    <row r="127">
      <c r="A127" s="13" t="n"/>
      <c r="B127" s="13" t="n"/>
      <c r="C127" s="13" t="n"/>
      <c r="D127" s="13" t="n"/>
      <c r="E127" s="13" t="n"/>
      <c r="F127" s="13" t="n"/>
      <c r="G127" s="40" t="n"/>
      <c r="H127" s="35" t="n"/>
      <c r="I127" s="40" t="n"/>
      <c r="J127" s="40" t="n"/>
      <c r="K127" s="40" t="n"/>
      <c r="L127" s="40" t="n"/>
      <c r="M127" s="34" t="n"/>
      <c r="N127" s="36">
        <f>IFERROR(H127/G127*1000,"")</f>
        <v/>
      </c>
      <c r="O127" s="41">
        <f>IFERROR(I127/G127,"")</f>
        <v/>
      </c>
      <c r="P127" s="41">
        <f>IFERROR(J127/G127,"")</f>
        <v/>
      </c>
      <c r="Q127" s="42">
        <f>IFERROR(P127/O127,"")</f>
        <v/>
      </c>
      <c r="R127" s="43">
        <f>IFERROR(K127/J127,"")</f>
        <v/>
      </c>
      <c r="S127" s="37">
        <f>IFERROR(M127/H127,"")</f>
        <v/>
      </c>
      <c r="T127" s="27">
        <f>IF(G127="","",IF(G127&gt;='KPI Benchmarks'!$D$14,"Yes","No"))</f>
        <v/>
      </c>
      <c r="U127" s="44">
        <f>IF(G127="","",IF(T127="No","Running",IF(AND(N(O127)&gt;='KPI Benchmarks'!$D$5,N(Q127)&gt;='KPI Benchmarks'!$D$6,OR(N(L127)&gt;0,N(K127)&gt;0)),"WINNER",IF(AND(N(O127)&gt;='KPI Benchmarks'!$D$5,N(Q127)&gt;='KPI Benchmarks'!$D$6),"Watch","Cut"))))</f>
        <v/>
      </c>
      <c r="V127" s="27">
        <f>IF(U127="WINNER",IF(N(L127)&gt;0,"Prospecting (ASC / interests)","Retargeting candidate"),IF(U127="Watch","Retest or retargeting","" ))</f>
        <v/>
      </c>
      <c r="W127" s="13" t="n"/>
    </row>
    <row r="128">
      <c r="A128" s="13" t="n"/>
      <c r="B128" s="13" t="n"/>
      <c r="C128" s="13" t="n"/>
      <c r="D128" s="13" t="n"/>
      <c r="E128" s="13" t="n"/>
      <c r="F128" s="13" t="n"/>
      <c r="G128" s="40" t="n"/>
      <c r="H128" s="35" t="n"/>
      <c r="I128" s="40" t="n"/>
      <c r="J128" s="40" t="n"/>
      <c r="K128" s="40" t="n"/>
      <c r="L128" s="40" t="n"/>
      <c r="M128" s="34" t="n"/>
      <c r="N128" s="36">
        <f>IFERROR(H128/G128*1000,"")</f>
        <v/>
      </c>
      <c r="O128" s="41">
        <f>IFERROR(I128/G128,"")</f>
        <v/>
      </c>
      <c r="P128" s="41">
        <f>IFERROR(J128/G128,"")</f>
        <v/>
      </c>
      <c r="Q128" s="42">
        <f>IFERROR(P128/O128,"")</f>
        <v/>
      </c>
      <c r="R128" s="43">
        <f>IFERROR(K128/J128,"")</f>
        <v/>
      </c>
      <c r="S128" s="37">
        <f>IFERROR(M128/H128,"")</f>
        <v/>
      </c>
      <c r="T128" s="27">
        <f>IF(G128="","",IF(G128&gt;='KPI Benchmarks'!$D$14,"Yes","No"))</f>
        <v/>
      </c>
      <c r="U128" s="44">
        <f>IF(G128="","",IF(T128="No","Running",IF(AND(N(O128)&gt;='KPI Benchmarks'!$D$5,N(Q128)&gt;='KPI Benchmarks'!$D$6,OR(N(L128)&gt;0,N(K128)&gt;0)),"WINNER",IF(AND(N(O128)&gt;='KPI Benchmarks'!$D$5,N(Q128)&gt;='KPI Benchmarks'!$D$6),"Watch","Cut"))))</f>
        <v/>
      </c>
      <c r="V128" s="27">
        <f>IF(U128="WINNER",IF(N(L128)&gt;0,"Prospecting (ASC / interests)","Retargeting candidate"),IF(U128="Watch","Retest or retargeting","" ))</f>
        <v/>
      </c>
      <c r="W128" s="13" t="n"/>
    </row>
    <row r="129">
      <c r="A129" s="13" t="n"/>
      <c r="B129" s="13" t="n"/>
      <c r="C129" s="13" t="n"/>
      <c r="D129" s="13" t="n"/>
      <c r="E129" s="13" t="n"/>
      <c r="F129" s="13" t="n"/>
      <c r="G129" s="40" t="n"/>
      <c r="H129" s="35" t="n"/>
      <c r="I129" s="40" t="n"/>
      <c r="J129" s="40" t="n"/>
      <c r="K129" s="40" t="n"/>
      <c r="L129" s="40" t="n"/>
      <c r="M129" s="34" t="n"/>
      <c r="N129" s="36">
        <f>IFERROR(H129/G129*1000,"")</f>
        <v/>
      </c>
      <c r="O129" s="41">
        <f>IFERROR(I129/G129,"")</f>
        <v/>
      </c>
      <c r="P129" s="41">
        <f>IFERROR(J129/G129,"")</f>
        <v/>
      </c>
      <c r="Q129" s="42">
        <f>IFERROR(P129/O129,"")</f>
        <v/>
      </c>
      <c r="R129" s="43">
        <f>IFERROR(K129/J129,"")</f>
        <v/>
      </c>
      <c r="S129" s="37">
        <f>IFERROR(M129/H129,"")</f>
        <v/>
      </c>
      <c r="T129" s="27">
        <f>IF(G129="","",IF(G129&gt;='KPI Benchmarks'!$D$14,"Yes","No"))</f>
        <v/>
      </c>
      <c r="U129" s="44">
        <f>IF(G129="","",IF(T129="No","Running",IF(AND(N(O129)&gt;='KPI Benchmarks'!$D$5,N(Q129)&gt;='KPI Benchmarks'!$D$6,OR(N(L129)&gt;0,N(K129)&gt;0)),"WINNER",IF(AND(N(O129)&gt;='KPI Benchmarks'!$D$5,N(Q129)&gt;='KPI Benchmarks'!$D$6),"Watch","Cut"))))</f>
        <v/>
      </c>
      <c r="V129" s="27">
        <f>IF(U129="WINNER",IF(N(L129)&gt;0,"Prospecting (ASC / interests)","Retargeting candidate"),IF(U129="Watch","Retest or retargeting","" ))</f>
        <v/>
      </c>
      <c r="W129" s="13" t="n"/>
    </row>
    <row r="130">
      <c r="A130" s="13" t="n"/>
      <c r="B130" s="13" t="n"/>
      <c r="C130" s="13" t="n"/>
      <c r="D130" s="13" t="n"/>
      <c r="E130" s="13" t="n"/>
      <c r="F130" s="13" t="n"/>
      <c r="G130" s="40" t="n"/>
      <c r="H130" s="35" t="n"/>
      <c r="I130" s="40" t="n"/>
      <c r="J130" s="40" t="n"/>
      <c r="K130" s="40" t="n"/>
      <c r="L130" s="40" t="n"/>
      <c r="M130" s="34" t="n"/>
      <c r="N130" s="36">
        <f>IFERROR(H130/G130*1000,"")</f>
        <v/>
      </c>
      <c r="O130" s="41">
        <f>IFERROR(I130/G130,"")</f>
        <v/>
      </c>
      <c r="P130" s="41">
        <f>IFERROR(J130/G130,"")</f>
        <v/>
      </c>
      <c r="Q130" s="42">
        <f>IFERROR(P130/O130,"")</f>
        <v/>
      </c>
      <c r="R130" s="43">
        <f>IFERROR(K130/J130,"")</f>
        <v/>
      </c>
      <c r="S130" s="37">
        <f>IFERROR(M130/H130,"")</f>
        <v/>
      </c>
      <c r="T130" s="27">
        <f>IF(G130="","",IF(G130&gt;='KPI Benchmarks'!$D$14,"Yes","No"))</f>
        <v/>
      </c>
      <c r="U130" s="44">
        <f>IF(G130="","",IF(T130="No","Running",IF(AND(N(O130)&gt;='KPI Benchmarks'!$D$5,N(Q130)&gt;='KPI Benchmarks'!$D$6,OR(N(L130)&gt;0,N(K130)&gt;0)),"WINNER",IF(AND(N(O130)&gt;='KPI Benchmarks'!$D$5,N(Q130)&gt;='KPI Benchmarks'!$D$6),"Watch","Cut"))))</f>
        <v/>
      </c>
      <c r="V130" s="27">
        <f>IF(U130="WINNER",IF(N(L130)&gt;0,"Prospecting (ASC / interests)","Retargeting candidate"),IF(U130="Watch","Retest or retargeting","" ))</f>
        <v/>
      </c>
      <c r="W130" s="13" t="n"/>
    </row>
    <row r="131">
      <c r="A131" s="13" t="n"/>
      <c r="B131" s="13" t="n"/>
      <c r="C131" s="13" t="n"/>
      <c r="D131" s="13" t="n"/>
      <c r="E131" s="13" t="n"/>
      <c r="F131" s="13" t="n"/>
      <c r="G131" s="40" t="n"/>
      <c r="H131" s="35" t="n"/>
      <c r="I131" s="40" t="n"/>
      <c r="J131" s="40" t="n"/>
      <c r="K131" s="40" t="n"/>
      <c r="L131" s="40" t="n"/>
      <c r="M131" s="34" t="n"/>
      <c r="N131" s="36">
        <f>IFERROR(H131/G131*1000,"")</f>
        <v/>
      </c>
      <c r="O131" s="41">
        <f>IFERROR(I131/G131,"")</f>
        <v/>
      </c>
      <c r="P131" s="41">
        <f>IFERROR(J131/G131,"")</f>
        <v/>
      </c>
      <c r="Q131" s="42">
        <f>IFERROR(P131/O131,"")</f>
        <v/>
      </c>
      <c r="R131" s="43">
        <f>IFERROR(K131/J131,"")</f>
        <v/>
      </c>
      <c r="S131" s="37">
        <f>IFERROR(M131/H131,"")</f>
        <v/>
      </c>
      <c r="T131" s="27">
        <f>IF(G131="","",IF(G131&gt;='KPI Benchmarks'!$D$14,"Yes","No"))</f>
        <v/>
      </c>
      <c r="U131" s="44">
        <f>IF(G131="","",IF(T131="No","Running",IF(AND(N(O131)&gt;='KPI Benchmarks'!$D$5,N(Q131)&gt;='KPI Benchmarks'!$D$6,OR(N(L131)&gt;0,N(K131)&gt;0)),"WINNER",IF(AND(N(O131)&gt;='KPI Benchmarks'!$D$5,N(Q131)&gt;='KPI Benchmarks'!$D$6),"Watch","Cut"))))</f>
        <v/>
      </c>
      <c r="V131" s="27">
        <f>IF(U131="WINNER",IF(N(L131)&gt;0,"Prospecting (ASC / interests)","Retargeting candidate"),IF(U131="Watch","Retest or retargeting","" ))</f>
        <v/>
      </c>
      <c r="W131" s="13" t="n"/>
    </row>
    <row r="132">
      <c r="A132" s="13" t="n"/>
      <c r="B132" s="13" t="n"/>
      <c r="C132" s="13" t="n"/>
      <c r="D132" s="13" t="n"/>
      <c r="E132" s="13" t="n"/>
      <c r="F132" s="13" t="n"/>
      <c r="G132" s="40" t="n"/>
      <c r="H132" s="35" t="n"/>
      <c r="I132" s="40" t="n"/>
      <c r="J132" s="40" t="n"/>
      <c r="K132" s="40" t="n"/>
      <c r="L132" s="40" t="n"/>
      <c r="M132" s="34" t="n"/>
      <c r="N132" s="36">
        <f>IFERROR(H132/G132*1000,"")</f>
        <v/>
      </c>
      <c r="O132" s="41">
        <f>IFERROR(I132/G132,"")</f>
        <v/>
      </c>
      <c r="P132" s="41">
        <f>IFERROR(J132/G132,"")</f>
        <v/>
      </c>
      <c r="Q132" s="42">
        <f>IFERROR(P132/O132,"")</f>
        <v/>
      </c>
      <c r="R132" s="43">
        <f>IFERROR(K132/J132,"")</f>
        <v/>
      </c>
      <c r="S132" s="37">
        <f>IFERROR(M132/H132,"")</f>
        <v/>
      </c>
      <c r="T132" s="27">
        <f>IF(G132="","",IF(G132&gt;='KPI Benchmarks'!$D$14,"Yes","No"))</f>
        <v/>
      </c>
      <c r="U132" s="44">
        <f>IF(G132="","",IF(T132="No","Running",IF(AND(N(O132)&gt;='KPI Benchmarks'!$D$5,N(Q132)&gt;='KPI Benchmarks'!$D$6,OR(N(L132)&gt;0,N(K132)&gt;0)),"WINNER",IF(AND(N(O132)&gt;='KPI Benchmarks'!$D$5,N(Q132)&gt;='KPI Benchmarks'!$D$6),"Watch","Cut"))))</f>
        <v/>
      </c>
      <c r="V132" s="27">
        <f>IF(U132="WINNER",IF(N(L132)&gt;0,"Prospecting (ASC / interests)","Retargeting candidate"),IF(U132="Watch","Retest or retargeting","" ))</f>
        <v/>
      </c>
      <c r="W132" s="13" t="n"/>
    </row>
    <row r="133">
      <c r="A133" s="13" t="n"/>
      <c r="B133" s="13" t="n"/>
      <c r="C133" s="13" t="n"/>
      <c r="D133" s="13" t="n"/>
      <c r="E133" s="13" t="n"/>
      <c r="F133" s="13" t="n"/>
      <c r="G133" s="40" t="n"/>
      <c r="H133" s="35" t="n"/>
      <c r="I133" s="40" t="n"/>
      <c r="J133" s="40" t="n"/>
      <c r="K133" s="40" t="n"/>
      <c r="L133" s="40" t="n"/>
      <c r="M133" s="34" t="n"/>
      <c r="N133" s="36">
        <f>IFERROR(H133/G133*1000,"")</f>
        <v/>
      </c>
      <c r="O133" s="41">
        <f>IFERROR(I133/G133,"")</f>
        <v/>
      </c>
      <c r="P133" s="41">
        <f>IFERROR(J133/G133,"")</f>
        <v/>
      </c>
      <c r="Q133" s="42">
        <f>IFERROR(P133/O133,"")</f>
        <v/>
      </c>
      <c r="R133" s="43">
        <f>IFERROR(K133/J133,"")</f>
        <v/>
      </c>
      <c r="S133" s="37">
        <f>IFERROR(M133/H133,"")</f>
        <v/>
      </c>
      <c r="T133" s="27">
        <f>IF(G133="","",IF(G133&gt;='KPI Benchmarks'!$D$14,"Yes","No"))</f>
        <v/>
      </c>
      <c r="U133" s="44">
        <f>IF(G133="","",IF(T133="No","Running",IF(AND(N(O133)&gt;='KPI Benchmarks'!$D$5,N(Q133)&gt;='KPI Benchmarks'!$D$6,OR(N(L133)&gt;0,N(K133)&gt;0)),"WINNER",IF(AND(N(O133)&gt;='KPI Benchmarks'!$D$5,N(Q133)&gt;='KPI Benchmarks'!$D$6),"Watch","Cut"))))</f>
        <v/>
      </c>
      <c r="V133" s="27">
        <f>IF(U133="WINNER",IF(N(L133)&gt;0,"Prospecting (ASC / interests)","Retargeting candidate"),IF(U133="Watch","Retest or retargeting","" ))</f>
        <v/>
      </c>
      <c r="W133" s="13" t="n"/>
    </row>
    <row r="134">
      <c r="A134" s="13" t="n"/>
      <c r="B134" s="13" t="n"/>
      <c r="C134" s="13" t="n"/>
      <c r="D134" s="13" t="n"/>
      <c r="E134" s="13" t="n"/>
      <c r="F134" s="13" t="n"/>
      <c r="G134" s="40" t="n"/>
      <c r="H134" s="35" t="n"/>
      <c r="I134" s="40" t="n"/>
      <c r="J134" s="40" t="n"/>
      <c r="K134" s="40" t="n"/>
      <c r="L134" s="40" t="n"/>
      <c r="M134" s="34" t="n"/>
      <c r="N134" s="36">
        <f>IFERROR(H134/G134*1000,"")</f>
        <v/>
      </c>
      <c r="O134" s="41">
        <f>IFERROR(I134/G134,"")</f>
        <v/>
      </c>
      <c r="P134" s="41">
        <f>IFERROR(J134/G134,"")</f>
        <v/>
      </c>
      <c r="Q134" s="42">
        <f>IFERROR(P134/O134,"")</f>
        <v/>
      </c>
      <c r="R134" s="43">
        <f>IFERROR(K134/J134,"")</f>
        <v/>
      </c>
      <c r="S134" s="37">
        <f>IFERROR(M134/H134,"")</f>
        <v/>
      </c>
      <c r="T134" s="27">
        <f>IF(G134="","",IF(G134&gt;='KPI Benchmarks'!$D$14,"Yes","No"))</f>
        <v/>
      </c>
      <c r="U134" s="44">
        <f>IF(G134="","",IF(T134="No","Running",IF(AND(N(O134)&gt;='KPI Benchmarks'!$D$5,N(Q134)&gt;='KPI Benchmarks'!$D$6,OR(N(L134)&gt;0,N(K134)&gt;0)),"WINNER",IF(AND(N(O134)&gt;='KPI Benchmarks'!$D$5,N(Q134)&gt;='KPI Benchmarks'!$D$6),"Watch","Cut"))))</f>
        <v/>
      </c>
      <c r="V134" s="27">
        <f>IF(U134="WINNER",IF(N(L134)&gt;0,"Prospecting (ASC / interests)","Retargeting candidate"),IF(U134="Watch","Retest or retargeting","" ))</f>
        <v/>
      </c>
      <c r="W134" s="13" t="n"/>
    </row>
    <row r="135">
      <c r="A135" s="13" t="n"/>
      <c r="B135" s="13" t="n"/>
      <c r="C135" s="13" t="n"/>
      <c r="D135" s="13" t="n"/>
      <c r="E135" s="13" t="n"/>
      <c r="F135" s="13" t="n"/>
      <c r="G135" s="40" t="n"/>
      <c r="H135" s="35" t="n"/>
      <c r="I135" s="40" t="n"/>
      <c r="J135" s="40" t="n"/>
      <c r="K135" s="40" t="n"/>
      <c r="L135" s="40" t="n"/>
      <c r="M135" s="34" t="n"/>
      <c r="N135" s="36">
        <f>IFERROR(H135/G135*1000,"")</f>
        <v/>
      </c>
      <c r="O135" s="41">
        <f>IFERROR(I135/G135,"")</f>
        <v/>
      </c>
      <c r="P135" s="41">
        <f>IFERROR(J135/G135,"")</f>
        <v/>
      </c>
      <c r="Q135" s="42">
        <f>IFERROR(P135/O135,"")</f>
        <v/>
      </c>
      <c r="R135" s="43">
        <f>IFERROR(K135/J135,"")</f>
        <v/>
      </c>
      <c r="S135" s="37">
        <f>IFERROR(M135/H135,"")</f>
        <v/>
      </c>
      <c r="T135" s="27">
        <f>IF(G135="","",IF(G135&gt;='KPI Benchmarks'!$D$14,"Yes","No"))</f>
        <v/>
      </c>
      <c r="U135" s="44">
        <f>IF(G135="","",IF(T135="No","Running",IF(AND(N(O135)&gt;='KPI Benchmarks'!$D$5,N(Q135)&gt;='KPI Benchmarks'!$D$6,OR(N(L135)&gt;0,N(K135)&gt;0)),"WINNER",IF(AND(N(O135)&gt;='KPI Benchmarks'!$D$5,N(Q135)&gt;='KPI Benchmarks'!$D$6),"Watch","Cut"))))</f>
        <v/>
      </c>
      <c r="V135" s="27">
        <f>IF(U135="WINNER",IF(N(L135)&gt;0,"Prospecting (ASC / interests)","Retargeting candidate"),IF(U135="Watch","Retest or retargeting","" ))</f>
        <v/>
      </c>
      <c r="W135" s="13" t="n"/>
    </row>
    <row r="136">
      <c r="A136" s="13" t="n"/>
      <c r="B136" s="13" t="n"/>
      <c r="C136" s="13" t="n"/>
      <c r="D136" s="13" t="n"/>
      <c r="E136" s="13" t="n"/>
      <c r="F136" s="13" t="n"/>
      <c r="G136" s="40" t="n"/>
      <c r="H136" s="35" t="n"/>
      <c r="I136" s="40" t="n"/>
      <c r="J136" s="40" t="n"/>
      <c r="K136" s="40" t="n"/>
      <c r="L136" s="40" t="n"/>
      <c r="M136" s="34" t="n"/>
      <c r="N136" s="36">
        <f>IFERROR(H136/G136*1000,"")</f>
        <v/>
      </c>
      <c r="O136" s="41">
        <f>IFERROR(I136/G136,"")</f>
        <v/>
      </c>
      <c r="P136" s="41">
        <f>IFERROR(J136/G136,"")</f>
        <v/>
      </c>
      <c r="Q136" s="42">
        <f>IFERROR(P136/O136,"")</f>
        <v/>
      </c>
      <c r="R136" s="43">
        <f>IFERROR(K136/J136,"")</f>
        <v/>
      </c>
      <c r="S136" s="37">
        <f>IFERROR(M136/H136,"")</f>
        <v/>
      </c>
      <c r="T136" s="27">
        <f>IF(G136="","",IF(G136&gt;='KPI Benchmarks'!$D$14,"Yes","No"))</f>
        <v/>
      </c>
      <c r="U136" s="44">
        <f>IF(G136="","",IF(T136="No","Running",IF(AND(N(O136)&gt;='KPI Benchmarks'!$D$5,N(Q136)&gt;='KPI Benchmarks'!$D$6,OR(N(L136)&gt;0,N(K136)&gt;0)),"WINNER",IF(AND(N(O136)&gt;='KPI Benchmarks'!$D$5,N(Q136)&gt;='KPI Benchmarks'!$D$6),"Watch","Cut"))))</f>
        <v/>
      </c>
      <c r="V136" s="27">
        <f>IF(U136="WINNER",IF(N(L136)&gt;0,"Prospecting (ASC / interests)","Retargeting candidate"),IF(U136="Watch","Retest or retargeting","" ))</f>
        <v/>
      </c>
      <c r="W136" s="13" t="n"/>
    </row>
    <row r="137">
      <c r="A137" s="13" t="n"/>
      <c r="B137" s="13" t="n"/>
      <c r="C137" s="13" t="n"/>
      <c r="D137" s="13" t="n"/>
      <c r="E137" s="13" t="n"/>
      <c r="F137" s="13" t="n"/>
      <c r="G137" s="40" t="n"/>
      <c r="H137" s="35" t="n"/>
      <c r="I137" s="40" t="n"/>
      <c r="J137" s="40" t="n"/>
      <c r="K137" s="40" t="n"/>
      <c r="L137" s="40" t="n"/>
      <c r="M137" s="34" t="n"/>
      <c r="N137" s="36">
        <f>IFERROR(H137/G137*1000,"")</f>
        <v/>
      </c>
      <c r="O137" s="41">
        <f>IFERROR(I137/G137,"")</f>
        <v/>
      </c>
      <c r="P137" s="41">
        <f>IFERROR(J137/G137,"")</f>
        <v/>
      </c>
      <c r="Q137" s="42">
        <f>IFERROR(P137/O137,"")</f>
        <v/>
      </c>
      <c r="R137" s="43">
        <f>IFERROR(K137/J137,"")</f>
        <v/>
      </c>
      <c r="S137" s="37">
        <f>IFERROR(M137/H137,"")</f>
        <v/>
      </c>
      <c r="T137" s="27">
        <f>IF(G137="","",IF(G137&gt;='KPI Benchmarks'!$D$14,"Yes","No"))</f>
        <v/>
      </c>
      <c r="U137" s="44">
        <f>IF(G137="","",IF(T137="No","Running",IF(AND(N(O137)&gt;='KPI Benchmarks'!$D$5,N(Q137)&gt;='KPI Benchmarks'!$D$6,OR(N(L137)&gt;0,N(K137)&gt;0)),"WINNER",IF(AND(N(O137)&gt;='KPI Benchmarks'!$D$5,N(Q137)&gt;='KPI Benchmarks'!$D$6),"Watch","Cut"))))</f>
        <v/>
      </c>
      <c r="V137" s="27">
        <f>IF(U137="WINNER",IF(N(L137)&gt;0,"Prospecting (ASC / interests)","Retargeting candidate"),IF(U137="Watch","Retest or retargeting","" ))</f>
        <v/>
      </c>
      <c r="W137" s="13" t="n"/>
    </row>
    <row r="138">
      <c r="A138" s="13" t="n"/>
      <c r="B138" s="13" t="n"/>
      <c r="C138" s="13" t="n"/>
      <c r="D138" s="13" t="n"/>
      <c r="E138" s="13" t="n"/>
      <c r="F138" s="13" t="n"/>
      <c r="G138" s="40" t="n"/>
      <c r="H138" s="35" t="n"/>
      <c r="I138" s="40" t="n"/>
      <c r="J138" s="40" t="n"/>
      <c r="K138" s="40" t="n"/>
      <c r="L138" s="40" t="n"/>
      <c r="M138" s="34" t="n"/>
      <c r="N138" s="36">
        <f>IFERROR(H138/G138*1000,"")</f>
        <v/>
      </c>
      <c r="O138" s="41">
        <f>IFERROR(I138/G138,"")</f>
        <v/>
      </c>
      <c r="P138" s="41">
        <f>IFERROR(J138/G138,"")</f>
        <v/>
      </c>
      <c r="Q138" s="42">
        <f>IFERROR(P138/O138,"")</f>
        <v/>
      </c>
      <c r="R138" s="43">
        <f>IFERROR(K138/J138,"")</f>
        <v/>
      </c>
      <c r="S138" s="37">
        <f>IFERROR(M138/H138,"")</f>
        <v/>
      </c>
      <c r="T138" s="27">
        <f>IF(G138="","",IF(G138&gt;='KPI Benchmarks'!$D$14,"Yes","No"))</f>
        <v/>
      </c>
      <c r="U138" s="44">
        <f>IF(G138="","",IF(T138="No","Running",IF(AND(N(O138)&gt;='KPI Benchmarks'!$D$5,N(Q138)&gt;='KPI Benchmarks'!$D$6,OR(N(L138)&gt;0,N(K138)&gt;0)),"WINNER",IF(AND(N(O138)&gt;='KPI Benchmarks'!$D$5,N(Q138)&gt;='KPI Benchmarks'!$D$6),"Watch","Cut"))))</f>
        <v/>
      </c>
      <c r="V138" s="27">
        <f>IF(U138="WINNER",IF(N(L138)&gt;0,"Prospecting (ASC / interests)","Retargeting candidate"),IF(U138="Watch","Retest or retargeting","" ))</f>
        <v/>
      </c>
      <c r="W138" s="13" t="n"/>
    </row>
    <row r="139">
      <c r="A139" s="13" t="n"/>
      <c r="B139" s="13" t="n"/>
      <c r="C139" s="13" t="n"/>
      <c r="D139" s="13" t="n"/>
      <c r="E139" s="13" t="n"/>
      <c r="F139" s="13" t="n"/>
      <c r="G139" s="40" t="n"/>
      <c r="H139" s="35" t="n"/>
      <c r="I139" s="40" t="n"/>
      <c r="J139" s="40" t="n"/>
      <c r="K139" s="40" t="n"/>
      <c r="L139" s="40" t="n"/>
      <c r="M139" s="34" t="n"/>
      <c r="N139" s="36">
        <f>IFERROR(H139/G139*1000,"")</f>
        <v/>
      </c>
      <c r="O139" s="41">
        <f>IFERROR(I139/G139,"")</f>
        <v/>
      </c>
      <c r="P139" s="41">
        <f>IFERROR(J139/G139,"")</f>
        <v/>
      </c>
      <c r="Q139" s="42">
        <f>IFERROR(P139/O139,"")</f>
        <v/>
      </c>
      <c r="R139" s="43">
        <f>IFERROR(K139/J139,"")</f>
        <v/>
      </c>
      <c r="S139" s="37">
        <f>IFERROR(M139/H139,"")</f>
        <v/>
      </c>
      <c r="T139" s="27">
        <f>IF(G139="","",IF(G139&gt;='KPI Benchmarks'!$D$14,"Yes","No"))</f>
        <v/>
      </c>
      <c r="U139" s="44">
        <f>IF(G139="","",IF(T139="No","Running",IF(AND(N(O139)&gt;='KPI Benchmarks'!$D$5,N(Q139)&gt;='KPI Benchmarks'!$D$6,OR(N(L139)&gt;0,N(K139)&gt;0)),"WINNER",IF(AND(N(O139)&gt;='KPI Benchmarks'!$D$5,N(Q139)&gt;='KPI Benchmarks'!$D$6),"Watch","Cut"))))</f>
        <v/>
      </c>
      <c r="V139" s="27">
        <f>IF(U139="WINNER",IF(N(L139)&gt;0,"Prospecting (ASC / interests)","Retargeting candidate"),IF(U139="Watch","Retest or retargeting","" ))</f>
        <v/>
      </c>
      <c r="W139" s="13" t="n"/>
    </row>
    <row r="140">
      <c r="A140" s="13" t="n"/>
      <c r="B140" s="13" t="n"/>
      <c r="C140" s="13" t="n"/>
      <c r="D140" s="13" t="n"/>
      <c r="E140" s="13" t="n"/>
      <c r="F140" s="13" t="n"/>
      <c r="G140" s="40" t="n"/>
      <c r="H140" s="35" t="n"/>
      <c r="I140" s="40" t="n"/>
      <c r="J140" s="40" t="n"/>
      <c r="K140" s="40" t="n"/>
      <c r="L140" s="40" t="n"/>
      <c r="M140" s="34" t="n"/>
      <c r="N140" s="36">
        <f>IFERROR(H140/G140*1000,"")</f>
        <v/>
      </c>
      <c r="O140" s="41">
        <f>IFERROR(I140/G140,"")</f>
        <v/>
      </c>
      <c r="P140" s="41">
        <f>IFERROR(J140/G140,"")</f>
        <v/>
      </c>
      <c r="Q140" s="42">
        <f>IFERROR(P140/O140,"")</f>
        <v/>
      </c>
      <c r="R140" s="43">
        <f>IFERROR(K140/J140,"")</f>
        <v/>
      </c>
      <c r="S140" s="37">
        <f>IFERROR(M140/H140,"")</f>
        <v/>
      </c>
      <c r="T140" s="27">
        <f>IF(G140="","",IF(G140&gt;='KPI Benchmarks'!$D$14,"Yes","No"))</f>
        <v/>
      </c>
      <c r="U140" s="44">
        <f>IF(G140="","",IF(T140="No","Running",IF(AND(N(O140)&gt;='KPI Benchmarks'!$D$5,N(Q140)&gt;='KPI Benchmarks'!$D$6,OR(N(L140)&gt;0,N(K140)&gt;0)),"WINNER",IF(AND(N(O140)&gt;='KPI Benchmarks'!$D$5,N(Q140)&gt;='KPI Benchmarks'!$D$6),"Watch","Cut"))))</f>
        <v/>
      </c>
      <c r="V140" s="27">
        <f>IF(U140="WINNER",IF(N(L140)&gt;0,"Prospecting (ASC / interests)","Retargeting candidate"),IF(U140="Watch","Retest or retargeting","" ))</f>
        <v/>
      </c>
      <c r="W140" s="13" t="n"/>
    </row>
    <row r="141">
      <c r="A141" s="13" t="n"/>
      <c r="B141" s="13" t="n"/>
      <c r="C141" s="13" t="n"/>
      <c r="D141" s="13" t="n"/>
      <c r="E141" s="13" t="n"/>
      <c r="F141" s="13" t="n"/>
      <c r="G141" s="40" t="n"/>
      <c r="H141" s="35" t="n"/>
      <c r="I141" s="40" t="n"/>
      <c r="J141" s="40" t="n"/>
      <c r="K141" s="40" t="n"/>
      <c r="L141" s="40" t="n"/>
      <c r="M141" s="34" t="n"/>
      <c r="N141" s="36">
        <f>IFERROR(H141/G141*1000,"")</f>
        <v/>
      </c>
      <c r="O141" s="41">
        <f>IFERROR(I141/G141,"")</f>
        <v/>
      </c>
      <c r="P141" s="41">
        <f>IFERROR(J141/G141,"")</f>
        <v/>
      </c>
      <c r="Q141" s="42">
        <f>IFERROR(P141/O141,"")</f>
        <v/>
      </c>
      <c r="R141" s="43">
        <f>IFERROR(K141/J141,"")</f>
        <v/>
      </c>
      <c r="S141" s="37">
        <f>IFERROR(M141/H141,"")</f>
        <v/>
      </c>
      <c r="T141" s="27">
        <f>IF(G141="","",IF(G141&gt;='KPI Benchmarks'!$D$14,"Yes","No"))</f>
        <v/>
      </c>
      <c r="U141" s="44">
        <f>IF(G141="","",IF(T141="No","Running",IF(AND(N(O141)&gt;='KPI Benchmarks'!$D$5,N(Q141)&gt;='KPI Benchmarks'!$D$6,OR(N(L141)&gt;0,N(K141)&gt;0)),"WINNER",IF(AND(N(O141)&gt;='KPI Benchmarks'!$D$5,N(Q141)&gt;='KPI Benchmarks'!$D$6),"Watch","Cut"))))</f>
        <v/>
      </c>
      <c r="V141" s="27">
        <f>IF(U141="WINNER",IF(N(L141)&gt;0,"Prospecting (ASC / interests)","Retargeting candidate"),IF(U141="Watch","Retest or retargeting","" ))</f>
        <v/>
      </c>
      <c r="W141" s="13" t="n"/>
    </row>
    <row r="142">
      <c r="A142" s="13" t="n"/>
      <c r="B142" s="13" t="n"/>
      <c r="C142" s="13" t="n"/>
      <c r="D142" s="13" t="n"/>
      <c r="E142" s="13" t="n"/>
      <c r="F142" s="13" t="n"/>
      <c r="G142" s="40" t="n"/>
      <c r="H142" s="35" t="n"/>
      <c r="I142" s="40" t="n"/>
      <c r="J142" s="40" t="n"/>
      <c r="K142" s="40" t="n"/>
      <c r="L142" s="40" t="n"/>
      <c r="M142" s="34" t="n"/>
      <c r="N142" s="36">
        <f>IFERROR(H142/G142*1000,"")</f>
        <v/>
      </c>
      <c r="O142" s="41">
        <f>IFERROR(I142/G142,"")</f>
        <v/>
      </c>
      <c r="P142" s="41">
        <f>IFERROR(J142/G142,"")</f>
        <v/>
      </c>
      <c r="Q142" s="42">
        <f>IFERROR(P142/O142,"")</f>
        <v/>
      </c>
      <c r="R142" s="43">
        <f>IFERROR(K142/J142,"")</f>
        <v/>
      </c>
      <c r="S142" s="37">
        <f>IFERROR(M142/H142,"")</f>
        <v/>
      </c>
      <c r="T142" s="27">
        <f>IF(G142="","",IF(G142&gt;='KPI Benchmarks'!$D$14,"Yes","No"))</f>
        <v/>
      </c>
      <c r="U142" s="44">
        <f>IF(G142="","",IF(T142="No","Running",IF(AND(N(O142)&gt;='KPI Benchmarks'!$D$5,N(Q142)&gt;='KPI Benchmarks'!$D$6,OR(N(L142)&gt;0,N(K142)&gt;0)),"WINNER",IF(AND(N(O142)&gt;='KPI Benchmarks'!$D$5,N(Q142)&gt;='KPI Benchmarks'!$D$6),"Watch","Cut"))))</f>
        <v/>
      </c>
      <c r="V142" s="27">
        <f>IF(U142="WINNER",IF(N(L142)&gt;0,"Prospecting (ASC / interests)","Retargeting candidate"),IF(U142="Watch","Retest or retargeting","" ))</f>
        <v/>
      </c>
      <c r="W142" s="13" t="n"/>
    </row>
    <row r="143">
      <c r="A143" s="13" t="n"/>
      <c r="B143" s="13" t="n"/>
      <c r="C143" s="13" t="n"/>
      <c r="D143" s="13" t="n"/>
      <c r="E143" s="13" t="n"/>
      <c r="F143" s="13" t="n"/>
      <c r="G143" s="40" t="n"/>
      <c r="H143" s="35" t="n"/>
      <c r="I143" s="40" t="n"/>
      <c r="J143" s="40" t="n"/>
      <c r="K143" s="40" t="n"/>
      <c r="L143" s="40" t="n"/>
      <c r="M143" s="34" t="n"/>
      <c r="N143" s="36">
        <f>IFERROR(H143/G143*1000,"")</f>
        <v/>
      </c>
      <c r="O143" s="41">
        <f>IFERROR(I143/G143,"")</f>
        <v/>
      </c>
      <c r="P143" s="41">
        <f>IFERROR(J143/G143,"")</f>
        <v/>
      </c>
      <c r="Q143" s="42">
        <f>IFERROR(P143/O143,"")</f>
        <v/>
      </c>
      <c r="R143" s="43">
        <f>IFERROR(K143/J143,"")</f>
        <v/>
      </c>
      <c r="S143" s="37">
        <f>IFERROR(M143/H143,"")</f>
        <v/>
      </c>
      <c r="T143" s="27">
        <f>IF(G143="","",IF(G143&gt;='KPI Benchmarks'!$D$14,"Yes","No"))</f>
        <v/>
      </c>
      <c r="U143" s="44">
        <f>IF(G143="","",IF(T143="No","Running",IF(AND(N(O143)&gt;='KPI Benchmarks'!$D$5,N(Q143)&gt;='KPI Benchmarks'!$D$6,OR(N(L143)&gt;0,N(K143)&gt;0)),"WINNER",IF(AND(N(O143)&gt;='KPI Benchmarks'!$D$5,N(Q143)&gt;='KPI Benchmarks'!$D$6),"Watch","Cut"))))</f>
        <v/>
      </c>
      <c r="V143" s="27">
        <f>IF(U143="WINNER",IF(N(L143)&gt;0,"Prospecting (ASC / interests)","Retargeting candidate"),IF(U143="Watch","Retest or retargeting","" ))</f>
        <v/>
      </c>
      <c r="W143" s="13" t="n"/>
    </row>
    <row r="144">
      <c r="A144" s="13" t="n"/>
      <c r="B144" s="13" t="n"/>
      <c r="C144" s="13" t="n"/>
      <c r="D144" s="13" t="n"/>
      <c r="E144" s="13" t="n"/>
      <c r="F144" s="13" t="n"/>
      <c r="G144" s="40" t="n"/>
      <c r="H144" s="35" t="n"/>
      <c r="I144" s="40" t="n"/>
      <c r="J144" s="40" t="n"/>
      <c r="K144" s="40" t="n"/>
      <c r="L144" s="40" t="n"/>
      <c r="M144" s="34" t="n"/>
      <c r="N144" s="36">
        <f>IFERROR(H144/G144*1000,"")</f>
        <v/>
      </c>
      <c r="O144" s="41">
        <f>IFERROR(I144/G144,"")</f>
        <v/>
      </c>
      <c r="P144" s="41">
        <f>IFERROR(J144/G144,"")</f>
        <v/>
      </c>
      <c r="Q144" s="42">
        <f>IFERROR(P144/O144,"")</f>
        <v/>
      </c>
      <c r="R144" s="43">
        <f>IFERROR(K144/J144,"")</f>
        <v/>
      </c>
      <c r="S144" s="37">
        <f>IFERROR(M144/H144,"")</f>
        <v/>
      </c>
      <c r="T144" s="27">
        <f>IF(G144="","",IF(G144&gt;='KPI Benchmarks'!$D$14,"Yes","No"))</f>
        <v/>
      </c>
      <c r="U144" s="44">
        <f>IF(G144="","",IF(T144="No","Running",IF(AND(N(O144)&gt;='KPI Benchmarks'!$D$5,N(Q144)&gt;='KPI Benchmarks'!$D$6,OR(N(L144)&gt;0,N(K144)&gt;0)),"WINNER",IF(AND(N(O144)&gt;='KPI Benchmarks'!$D$5,N(Q144)&gt;='KPI Benchmarks'!$D$6),"Watch","Cut"))))</f>
        <v/>
      </c>
      <c r="V144" s="27">
        <f>IF(U144="WINNER",IF(N(L144)&gt;0,"Prospecting (ASC / interests)","Retargeting candidate"),IF(U144="Watch","Retest or retargeting","" ))</f>
        <v/>
      </c>
      <c r="W144" s="13" t="n"/>
    </row>
    <row r="145">
      <c r="A145" s="13" t="n"/>
      <c r="B145" s="13" t="n"/>
      <c r="C145" s="13" t="n"/>
      <c r="D145" s="13" t="n"/>
      <c r="E145" s="13" t="n"/>
      <c r="F145" s="13" t="n"/>
      <c r="G145" s="40" t="n"/>
      <c r="H145" s="35" t="n"/>
      <c r="I145" s="40" t="n"/>
      <c r="J145" s="40" t="n"/>
      <c r="K145" s="40" t="n"/>
      <c r="L145" s="40" t="n"/>
      <c r="M145" s="34" t="n"/>
      <c r="N145" s="36">
        <f>IFERROR(H145/G145*1000,"")</f>
        <v/>
      </c>
      <c r="O145" s="41">
        <f>IFERROR(I145/G145,"")</f>
        <v/>
      </c>
      <c r="P145" s="41">
        <f>IFERROR(J145/G145,"")</f>
        <v/>
      </c>
      <c r="Q145" s="42">
        <f>IFERROR(P145/O145,"")</f>
        <v/>
      </c>
      <c r="R145" s="43">
        <f>IFERROR(K145/J145,"")</f>
        <v/>
      </c>
      <c r="S145" s="37">
        <f>IFERROR(M145/H145,"")</f>
        <v/>
      </c>
      <c r="T145" s="27">
        <f>IF(G145="","",IF(G145&gt;='KPI Benchmarks'!$D$14,"Yes","No"))</f>
        <v/>
      </c>
      <c r="U145" s="44">
        <f>IF(G145="","",IF(T145="No","Running",IF(AND(N(O145)&gt;='KPI Benchmarks'!$D$5,N(Q145)&gt;='KPI Benchmarks'!$D$6,OR(N(L145)&gt;0,N(K145)&gt;0)),"WINNER",IF(AND(N(O145)&gt;='KPI Benchmarks'!$D$5,N(Q145)&gt;='KPI Benchmarks'!$D$6),"Watch","Cut"))))</f>
        <v/>
      </c>
      <c r="V145" s="27">
        <f>IF(U145="WINNER",IF(N(L145)&gt;0,"Prospecting (ASC / interests)","Retargeting candidate"),IF(U145="Watch","Retest or retargeting","" ))</f>
        <v/>
      </c>
      <c r="W145" s="13" t="n"/>
    </row>
    <row r="146">
      <c r="A146" s="13" t="n"/>
      <c r="B146" s="13" t="n"/>
      <c r="C146" s="13" t="n"/>
      <c r="D146" s="13" t="n"/>
      <c r="E146" s="13" t="n"/>
      <c r="F146" s="13" t="n"/>
      <c r="G146" s="40" t="n"/>
      <c r="H146" s="35" t="n"/>
      <c r="I146" s="40" t="n"/>
      <c r="J146" s="40" t="n"/>
      <c r="K146" s="40" t="n"/>
      <c r="L146" s="40" t="n"/>
      <c r="M146" s="34" t="n"/>
      <c r="N146" s="36">
        <f>IFERROR(H146/G146*1000,"")</f>
        <v/>
      </c>
      <c r="O146" s="41">
        <f>IFERROR(I146/G146,"")</f>
        <v/>
      </c>
      <c r="P146" s="41">
        <f>IFERROR(J146/G146,"")</f>
        <v/>
      </c>
      <c r="Q146" s="42">
        <f>IFERROR(P146/O146,"")</f>
        <v/>
      </c>
      <c r="R146" s="43">
        <f>IFERROR(K146/J146,"")</f>
        <v/>
      </c>
      <c r="S146" s="37">
        <f>IFERROR(M146/H146,"")</f>
        <v/>
      </c>
      <c r="T146" s="27">
        <f>IF(G146="","",IF(G146&gt;='KPI Benchmarks'!$D$14,"Yes","No"))</f>
        <v/>
      </c>
      <c r="U146" s="44">
        <f>IF(G146="","",IF(T146="No","Running",IF(AND(N(O146)&gt;='KPI Benchmarks'!$D$5,N(Q146)&gt;='KPI Benchmarks'!$D$6,OR(N(L146)&gt;0,N(K146)&gt;0)),"WINNER",IF(AND(N(O146)&gt;='KPI Benchmarks'!$D$5,N(Q146)&gt;='KPI Benchmarks'!$D$6),"Watch","Cut"))))</f>
        <v/>
      </c>
      <c r="V146" s="27">
        <f>IF(U146="WINNER",IF(N(L146)&gt;0,"Prospecting (ASC / interests)","Retargeting candidate"),IF(U146="Watch","Retest or retargeting","" ))</f>
        <v/>
      </c>
      <c r="W146" s="13" t="n"/>
    </row>
    <row r="147">
      <c r="A147" s="13" t="n"/>
      <c r="B147" s="13" t="n"/>
      <c r="C147" s="13" t="n"/>
      <c r="D147" s="13" t="n"/>
      <c r="E147" s="13" t="n"/>
      <c r="F147" s="13" t="n"/>
      <c r="G147" s="40" t="n"/>
      <c r="H147" s="35" t="n"/>
      <c r="I147" s="40" t="n"/>
      <c r="J147" s="40" t="n"/>
      <c r="K147" s="40" t="n"/>
      <c r="L147" s="40" t="n"/>
      <c r="M147" s="34" t="n"/>
      <c r="N147" s="36">
        <f>IFERROR(H147/G147*1000,"")</f>
        <v/>
      </c>
      <c r="O147" s="41">
        <f>IFERROR(I147/G147,"")</f>
        <v/>
      </c>
      <c r="P147" s="41">
        <f>IFERROR(J147/G147,"")</f>
        <v/>
      </c>
      <c r="Q147" s="42">
        <f>IFERROR(P147/O147,"")</f>
        <v/>
      </c>
      <c r="R147" s="43">
        <f>IFERROR(K147/J147,"")</f>
        <v/>
      </c>
      <c r="S147" s="37">
        <f>IFERROR(M147/H147,"")</f>
        <v/>
      </c>
      <c r="T147" s="27">
        <f>IF(G147="","",IF(G147&gt;='KPI Benchmarks'!$D$14,"Yes","No"))</f>
        <v/>
      </c>
      <c r="U147" s="44">
        <f>IF(G147="","",IF(T147="No","Running",IF(AND(N(O147)&gt;='KPI Benchmarks'!$D$5,N(Q147)&gt;='KPI Benchmarks'!$D$6,OR(N(L147)&gt;0,N(K147)&gt;0)),"WINNER",IF(AND(N(O147)&gt;='KPI Benchmarks'!$D$5,N(Q147)&gt;='KPI Benchmarks'!$D$6),"Watch","Cut"))))</f>
        <v/>
      </c>
      <c r="V147" s="27">
        <f>IF(U147="WINNER",IF(N(L147)&gt;0,"Prospecting (ASC / interests)","Retargeting candidate"),IF(U147="Watch","Retest or retargeting","" ))</f>
        <v/>
      </c>
      <c r="W147" s="13" t="n"/>
    </row>
    <row r="148">
      <c r="A148" s="13" t="n"/>
      <c r="B148" s="13" t="n"/>
      <c r="C148" s="13" t="n"/>
      <c r="D148" s="13" t="n"/>
      <c r="E148" s="13" t="n"/>
      <c r="F148" s="13" t="n"/>
      <c r="G148" s="40" t="n"/>
      <c r="H148" s="35" t="n"/>
      <c r="I148" s="40" t="n"/>
      <c r="J148" s="40" t="n"/>
      <c r="K148" s="40" t="n"/>
      <c r="L148" s="40" t="n"/>
      <c r="M148" s="34" t="n"/>
      <c r="N148" s="36">
        <f>IFERROR(H148/G148*1000,"")</f>
        <v/>
      </c>
      <c r="O148" s="41">
        <f>IFERROR(I148/G148,"")</f>
        <v/>
      </c>
      <c r="P148" s="41">
        <f>IFERROR(J148/G148,"")</f>
        <v/>
      </c>
      <c r="Q148" s="42">
        <f>IFERROR(P148/O148,"")</f>
        <v/>
      </c>
      <c r="R148" s="43">
        <f>IFERROR(K148/J148,"")</f>
        <v/>
      </c>
      <c r="S148" s="37">
        <f>IFERROR(M148/H148,"")</f>
        <v/>
      </c>
      <c r="T148" s="27">
        <f>IF(G148="","",IF(G148&gt;='KPI Benchmarks'!$D$14,"Yes","No"))</f>
        <v/>
      </c>
      <c r="U148" s="44">
        <f>IF(G148="","",IF(T148="No","Running",IF(AND(N(O148)&gt;='KPI Benchmarks'!$D$5,N(Q148)&gt;='KPI Benchmarks'!$D$6,OR(N(L148)&gt;0,N(K148)&gt;0)),"WINNER",IF(AND(N(O148)&gt;='KPI Benchmarks'!$D$5,N(Q148)&gt;='KPI Benchmarks'!$D$6),"Watch","Cut"))))</f>
        <v/>
      </c>
      <c r="V148" s="27">
        <f>IF(U148="WINNER",IF(N(L148)&gt;0,"Prospecting (ASC / interests)","Retargeting candidate"),IF(U148="Watch","Retest or retargeting","" ))</f>
        <v/>
      </c>
      <c r="W148" s="13" t="n"/>
    </row>
    <row r="149">
      <c r="A149" s="13" t="n"/>
      <c r="B149" s="13" t="n"/>
      <c r="C149" s="13" t="n"/>
      <c r="D149" s="13" t="n"/>
      <c r="E149" s="13" t="n"/>
      <c r="F149" s="13" t="n"/>
      <c r="G149" s="40" t="n"/>
      <c r="H149" s="35" t="n"/>
      <c r="I149" s="40" t="n"/>
      <c r="J149" s="40" t="n"/>
      <c r="K149" s="40" t="n"/>
      <c r="L149" s="40" t="n"/>
      <c r="M149" s="34" t="n"/>
      <c r="N149" s="36">
        <f>IFERROR(H149/G149*1000,"")</f>
        <v/>
      </c>
      <c r="O149" s="41">
        <f>IFERROR(I149/G149,"")</f>
        <v/>
      </c>
      <c r="P149" s="41">
        <f>IFERROR(J149/G149,"")</f>
        <v/>
      </c>
      <c r="Q149" s="42">
        <f>IFERROR(P149/O149,"")</f>
        <v/>
      </c>
      <c r="R149" s="43">
        <f>IFERROR(K149/J149,"")</f>
        <v/>
      </c>
      <c r="S149" s="37">
        <f>IFERROR(M149/H149,"")</f>
        <v/>
      </c>
      <c r="T149" s="27">
        <f>IF(G149="","",IF(G149&gt;='KPI Benchmarks'!$D$14,"Yes","No"))</f>
        <v/>
      </c>
      <c r="U149" s="44">
        <f>IF(G149="","",IF(T149="No","Running",IF(AND(N(O149)&gt;='KPI Benchmarks'!$D$5,N(Q149)&gt;='KPI Benchmarks'!$D$6,OR(N(L149)&gt;0,N(K149)&gt;0)),"WINNER",IF(AND(N(O149)&gt;='KPI Benchmarks'!$D$5,N(Q149)&gt;='KPI Benchmarks'!$D$6),"Watch","Cut"))))</f>
        <v/>
      </c>
      <c r="V149" s="27">
        <f>IF(U149="WINNER",IF(N(L149)&gt;0,"Prospecting (ASC / interests)","Retargeting candidate"),IF(U149="Watch","Retest or retargeting","" ))</f>
        <v/>
      </c>
      <c r="W149" s="13" t="n"/>
    </row>
    <row r="150">
      <c r="A150" s="13" t="n"/>
      <c r="B150" s="13" t="n"/>
      <c r="C150" s="13" t="n"/>
      <c r="D150" s="13" t="n"/>
      <c r="E150" s="13" t="n"/>
      <c r="F150" s="13" t="n"/>
      <c r="G150" s="40" t="n"/>
      <c r="H150" s="35" t="n"/>
      <c r="I150" s="40" t="n"/>
      <c r="J150" s="40" t="n"/>
      <c r="K150" s="40" t="n"/>
      <c r="L150" s="40" t="n"/>
      <c r="M150" s="34" t="n"/>
      <c r="N150" s="36">
        <f>IFERROR(H150/G150*1000,"")</f>
        <v/>
      </c>
      <c r="O150" s="41">
        <f>IFERROR(I150/G150,"")</f>
        <v/>
      </c>
      <c r="P150" s="41">
        <f>IFERROR(J150/G150,"")</f>
        <v/>
      </c>
      <c r="Q150" s="42">
        <f>IFERROR(P150/O150,"")</f>
        <v/>
      </c>
      <c r="R150" s="43">
        <f>IFERROR(K150/J150,"")</f>
        <v/>
      </c>
      <c r="S150" s="37">
        <f>IFERROR(M150/H150,"")</f>
        <v/>
      </c>
      <c r="T150" s="27">
        <f>IF(G150="","",IF(G150&gt;='KPI Benchmarks'!$D$14,"Yes","No"))</f>
        <v/>
      </c>
      <c r="U150" s="44">
        <f>IF(G150="","",IF(T150="No","Running",IF(AND(N(O150)&gt;='KPI Benchmarks'!$D$5,N(Q150)&gt;='KPI Benchmarks'!$D$6,OR(N(L150)&gt;0,N(K150)&gt;0)),"WINNER",IF(AND(N(O150)&gt;='KPI Benchmarks'!$D$5,N(Q150)&gt;='KPI Benchmarks'!$D$6),"Watch","Cut"))))</f>
        <v/>
      </c>
      <c r="V150" s="27">
        <f>IF(U150="WINNER",IF(N(L150)&gt;0,"Prospecting (ASC / interests)","Retargeting candidate"),IF(U150="Watch","Retest or retargeting","" ))</f>
        <v/>
      </c>
      <c r="W150" s="13" t="n"/>
    </row>
    <row r="151">
      <c r="A151" s="13" t="n"/>
      <c r="B151" s="13" t="n"/>
      <c r="C151" s="13" t="n"/>
      <c r="D151" s="13" t="n"/>
      <c r="E151" s="13" t="n"/>
      <c r="F151" s="13" t="n"/>
      <c r="G151" s="40" t="n"/>
      <c r="H151" s="35" t="n"/>
      <c r="I151" s="40" t="n"/>
      <c r="J151" s="40" t="n"/>
      <c r="K151" s="40" t="n"/>
      <c r="L151" s="40" t="n"/>
      <c r="M151" s="34" t="n"/>
      <c r="N151" s="36">
        <f>IFERROR(H151/G151*1000,"")</f>
        <v/>
      </c>
      <c r="O151" s="41">
        <f>IFERROR(I151/G151,"")</f>
        <v/>
      </c>
      <c r="P151" s="41">
        <f>IFERROR(J151/G151,"")</f>
        <v/>
      </c>
      <c r="Q151" s="42">
        <f>IFERROR(P151/O151,"")</f>
        <v/>
      </c>
      <c r="R151" s="43">
        <f>IFERROR(K151/J151,"")</f>
        <v/>
      </c>
      <c r="S151" s="37">
        <f>IFERROR(M151/H151,"")</f>
        <v/>
      </c>
      <c r="T151" s="27">
        <f>IF(G151="","",IF(G151&gt;='KPI Benchmarks'!$D$14,"Yes","No"))</f>
        <v/>
      </c>
      <c r="U151" s="44">
        <f>IF(G151="","",IF(T151="No","Running",IF(AND(N(O151)&gt;='KPI Benchmarks'!$D$5,N(Q151)&gt;='KPI Benchmarks'!$D$6,OR(N(L151)&gt;0,N(K151)&gt;0)),"WINNER",IF(AND(N(O151)&gt;='KPI Benchmarks'!$D$5,N(Q151)&gt;='KPI Benchmarks'!$D$6),"Watch","Cut"))))</f>
        <v/>
      </c>
      <c r="V151" s="27">
        <f>IF(U151="WINNER",IF(N(L151)&gt;0,"Prospecting (ASC / interests)","Retargeting candidate"),IF(U151="Watch","Retest or retargeting","" ))</f>
        <v/>
      </c>
      <c r="W151" s="13" t="n"/>
    </row>
    <row r="152">
      <c r="A152" s="13" t="n"/>
      <c r="B152" s="13" t="n"/>
      <c r="C152" s="13" t="n"/>
      <c r="D152" s="13" t="n"/>
      <c r="E152" s="13" t="n"/>
      <c r="F152" s="13" t="n"/>
      <c r="G152" s="40" t="n"/>
      <c r="H152" s="35" t="n"/>
      <c r="I152" s="40" t="n"/>
      <c r="J152" s="40" t="n"/>
      <c r="K152" s="40" t="n"/>
      <c r="L152" s="40" t="n"/>
      <c r="M152" s="34" t="n"/>
      <c r="N152" s="36">
        <f>IFERROR(H152/G152*1000,"")</f>
        <v/>
      </c>
      <c r="O152" s="41">
        <f>IFERROR(I152/G152,"")</f>
        <v/>
      </c>
      <c r="P152" s="41">
        <f>IFERROR(J152/G152,"")</f>
        <v/>
      </c>
      <c r="Q152" s="42">
        <f>IFERROR(P152/O152,"")</f>
        <v/>
      </c>
      <c r="R152" s="43">
        <f>IFERROR(K152/J152,"")</f>
        <v/>
      </c>
      <c r="S152" s="37">
        <f>IFERROR(M152/H152,"")</f>
        <v/>
      </c>
      <c r="T152" s="27">
        <f>IF(G152="","",IF(G152&gt;='KPI Benchmarks'!$D$14,"Yes","No"))</f>
        <v/>
      </c>
      <c r="U152" s="44">
        <f>IF(G152="","",IF(T152="No","Running",IF(AND(N(O152)&gt;='KPI Benchmarks'!$D$5,N(Q152)&gt;='KPI Benchmarks'!$D$6,OR(N(L152)&gt;0,N(K152)&gt;0)),"WINNER",IF(AND(N(O152)&gt;='KPI Benchmarks'!$D$5,N(Q152)&gt;='KPI Benchmarks'!$D$6),"Watch","Cut"))))</f>
        <v/>
      </c>
      <c r="V152" s="27">
        <f>IF(U152="WINNER",IF(N(L152)&gt;0,"Prospecting (ASC / interests)","Retargeting candidate"),IF(U152="Watch","Retest or retargeting","" ))</f>
        <v/>
      </c>
      <c r="W152" s="13" t="n"/>
    </row>
    <row r="153">
      <c r="A153" s="13" t="n"/>
      <c r="B153" s="13" t="n"/>
      <c r="C153" s="13" t="n"/>
      <c r="D153" s="13" t="n"/>
      <c r="E153" s="13" t="n"/>
      <c r="F153" s="13" t="n"/>
      <c r="G153" s="40" t="n"/>
      <c r="H153" s="35" t="n"/>
      <c r="I153" s="40" t="n"/>
      <c r="J153" s="40" t="n"/>
      <c r="K153" s="40" t="n"/>
      <c r="L153" s="40" t="n"/>
      <c r="M153" s="34" t="n"/>
      <c r="N153" s="36">
        <f>IFERROR(H153/G153*1000,"")</f>
        <v/>
      </c>
      <c r="O153" s="41">
        <f>IFERROR(I153/G153,"")</f>
        <v/>
      </c>
      <c r="P153" s="41">
        <f>IFERROR(J153/G153,"")</f>
        <v/>
      </c>
      <c r="Q153" s="42">
        <f>IFERROR(P153/O153,"")</f>
        <v/>
      </c>
      <c r="R153" s="43">
        <f>IFERROR(K153/J153,"")</f>
        <v/>
      </c>
      <c r="S153" s="37">
        <f>IFERROR(M153/H153,"")</f>
        <v/>
      </c>
      <c r="T153" s="27">
        <f>IF(G153="","",IF(G153&gt;='KPI Benchmarks'!$D$14,"Yes","No"))</f>
        <v/>
      </c>
      <c r="U153" s="44">
        <f>IF(G153="","",IF(T153="No","Running",IF(AND(N(O153)&gt;='KPI Benchmarks'!$D$5,N(Q153)&gt;='KPI Benchmarks'!$D$6,OR(N(L153)&gt;0,N(K153)&gt;0)),"WINNER",IF(AND(N(O153)&gt;='KPI Benchmarks'!$D$5,N(Q153)&gt;='KPI Benchmarks'!$D$6),"Watch","Cut"))))</f>
        <v/>
      </c>
      <c r="V153" s="27">
        <f>IF(U153="WINNER",IF(N(L153)&gt;0,"Prospecting (ASC / interests)","Retargeting candidate"),IF(U153="Watch","Retest or retargeting","" ))</f>
        <v/>
      </c>
      <c r="W153" s="13" t="n"/>
    </row>
    <row r="154">
      <c r="A154" s="13" t="n"/>
      <c r="B154" s="13" t="n"/>
      <c r="C154" s="13" t="n"/>
      <c r="D154" s="13" t="n"/>
      <c r="E154" s="13" t="n"/>
      <c r="F154" s="13" t="n"/>
      <c r="G154" s="40" t="n"/>
      <c r="H154" s="35" t="n"/>
      <c r="I154" s="40" t="n"/>
      <c r="J154" s="40" t="n"/>
      <c r="K154" s="40" t="n"/>
      <c r="L154" s="40" t="n"/>
      <c r="M154" s="34" t="n"/>
      <c r="N154" s="36">
        <f>IFERROR(H154/G154*1000,"")</f>
        <v/>
      </c>
      <c r="O154" s="41">
        <f>IFERROR(I154/G154,"")</f>
        <v/>
      </c>
      <c r="P154" s="41">
        <f>IFERROR(J154/G154,"")</f>
        <v/>
      </c>
      <c r="Q154" s="42">
        <f>IFERROR(P154/O154,"")</f>
        <v/>
      </c>
      <c r="R154" s="43">
        <f>IFERROR(K154/J154,"")</f>
        <v/>
      </c>
      <c r="S154" s="37">
        <f>IFERROR(M154/H154,"")</f>
        <v/>
      </c>
      <c r="T154" s="27">
        <f>IF(G154="","",IF(G154&gt;='KPI Benchmarks'!$D$14,"Yes","No"))</f>
        <v/>
      </c>
      <c r="U154" s="44">
        <f>IF(G154="","",IF(T154="No","Running",IF(AND(N(O154)&gt;='KPI Benchmarks'!$D$5,N(Q154)&gt;='KPI Benchmarks'!$D$6,OR(N(L154)&gt;0,N(K154)&gt;0)),"WINNER",IF(AND(N(O154)&gt;='KPI Benchmarks'!$D$5,N(Q154)&gt;='KPI Benchmarks'!$D$6),"Watch","Cut"))))</f>
        <v/>
      </c>
      <c r="V154" s="27">
        <f>IF(U154="WINNER",IF(N(L154)&gt;0,"Prospecting (ASC / interests)","Retargeting candidate"),IF(U154="Watch","Retest or retargeting","" ))</f>
        <v/>
      </c>
      <c r="W154" s="13" t="n"/>
    </row>
    <row r="155">
      <c r="A155" s="13" t="n"/>
      <c r="B155" s="13" t="n"/>
      <c r="C155" s="13" t="n"/>
      <c r="D155" s="13" t="n"/>
      <c r="E155" s="13" t="n"/>
      <c r="F155" s="13" t="n"/>
      <c r="G155" s="40" t="n"/>
      <c r="H155" s="35" t="n"/>
      <c r="I155" s="40" t="n"/>
      <c r="J155" s="40" t="n"/>
      <c r="K155" s="40" t="n"/>
      <c r="L155" s="40" t="n"/>
      <c r="M155" s="34" t="n"/>
      <c r="N155" s="36">
        <f>IFERROR(H155/G155*1000,"")</f>
        <v/>
      </c>
      <c r="O155" s="41">
        <f>IFERROR(I155/G155,"")</f>
        <v/>
      </c>
      <c r="P155" s="41">
        <f>IFERROR(J155/G155,"")</f>
        <v/>
      </c>
      <c r="Q155" s="42">
        <f>IFERROR(P155/O155,"")</f>
        <v/>
      </c>
      <c r="R155" s="43">
        <f>IFERROR(K155/J155,"")</f>
        <v/>
      </c>
      <c r="S155" s="37">
        <f>IFERROR(M155/H155,"")</f>
        <v/>
      </c>
      <c r="T155" s="27">
        <f>IF(G155="","",IF(G155&gt;='KPI Benchmarks'!$D$14,"Yes","No"))</f>
        <v/>
      </c>
      <c r="U155" s="44">
        <f>IF(G155="","",IF(T155="No","Running",IF(AND(N(O155)&gt;='KPI Benchmarks'!$D$5,N(Q155)&gt;='KPI Benchmarks'!$D$6,OR(N(L155)&gt;0,N(K155)&gt;0)),"WINNER",IF(AND(N(O155)&gt;='KPI Benchmarks'!$D$5,N(Q155)&gt;='KPI Benchmarks'!$D$6),"Watch","Cut"))))</f>
        <v/>
      </c>
      <c r="V155" s="27">
        <f>IF(U155="WINNER",IF(N(L155)&gt;0,"Prospecting (ASC / interests)","Retargeting candidate"),IF(U155="Watch","Retest or retargeting","" ))</f>
        <v/>
      </c>
      <c r="W155" s="13" t="n"/>
    </row>
    <row r="156">
      <c r="A156" s="13" t="n"/>
      <c r="B156" s="13" t="n"/>
      <c r="C156" s="13" t="n"/>
      <c r="D156" s="13" t="n"/>
      <c r="E156" s="13" t="n"/>
      <c r="F156" s="13" t="n"/>
      <c r="G156" s="40" t="n"/>
      <c r="H156" s="35" t="n"/>
      <c r="I156" s="40" t="n"/>
      <c r="J156" s="40" t="n"/>
      <c r="K156" s="40" t="n"/>
      <c r="L156" s="40" t="n"/>
      <c r="M156" s="34" t="n"/>
      <c r="N156" s="36">
        <f>IFERROR(H156/G156*1000,"")</f>
        <v/>
      </c>
      <c r="O156" s="41">
        <f>IFERROR(I156/G156,"")</f>
        <v/>
      </c>
      <c r="P156" s="41">
        <f>IFERROR(J156/G156,"")</f>
        <v/>
      </c>
      <c r="Q156" s="42">
        <f>IFERROR(P156/O156,"")</f>
        <v/>
      </c>
      <c r="R156" s="43">
        <f>IFERROR(K156/J156,"")</f>
        <v/>
      </c>
      <c r="S156" s="37">
        <f>IFERROR(M156/H156,"")</f>
        <v/>
      </c>
      <c r="T156" s="27">
        <f>IF(G156="","",IF(G156&gt;='KPI Benchmarks'!$D$14,"Yes","No"))</f>
        <v/>
      </c>
      <c r="U156" s="44">
        <f>IF(G156="","",IF(T156="No","Running",IF(AND(N(O156)&gt;='KPI Benchmarks'!$D$5,N(Q156)&gt;='KPI Benchmarks'!$D$6,OR(N(L156)&gt;0,N(K156)&gt;0)),"WINNER",IF(AND(N(O156)&gt;='KPI Benchmarks'!$D$5,N(Q156)&gt;='KPI Benchmarks'!$D$6),"Watch","Cut"))))</f>
        <v/>
      </c>
      <c r="V156" s="27">
        <f>IF(U156="WINNER",IF(N(L156)&gt;0,"Prospecting (ASC / interests)","Retargeting candidate"),IF(U156="Watch","Retest or retargeting","" ))</f>
        <v/>
      </c>
      <c r="W156" s="13" t="n"/>
    </row>
    <row r="157">
      <c r="A157" s="13" t="n"/>
      <c r="B157" s="13" t="n"/>
      <c r="C157" s="13" t="n"/>
      <c r="D157" s="13" t="n"/>
      <c r="E157" s="13" t="n"/>
      <c r="F157" s="13" t="n"/>
      <c r="G157" s="40" t="n"/>
      <c r="H157" s="35" t="n"/>
      <c r="I157" s="40" t="n"/>
      <c r="J157" s="40" t="n"/>
      <c r="K157" s="40" t="n"/>
      <c r="L157" s="40" t="n"/>
      <c r="M157" s="34" t="n"/>
      <c r="N157" s="36">
        <f>IFERROR(H157/G157*1000,"")</f>
        <v/>
      </c>
      <c r="O157" s="41">
        <f>IFERROR(I157/G157,"")</f>
        <v/>
      </c>
      <c r="P157" s="41">
        <f>IFERROR(J157/G157,"")</f>
        <v/>
      </c>
      <c r="Q157" s="42">
        <f>IFERROR(P157/O157,"")</f>
        <v/>
      </c>
      <c r="R157" s="43">
        <f>IFERROR(K157/J157,"")</f>
        <v/>
      </c>
      <c r="S157" s="37">
        <f>IFERROR(M157/H157,"")</f>
        <v/>
      </c>
      <c r="T157" s="27">
        <f>IF(G157="","",IF(G157&gt;='KPI Benchmarks'!$D$14,"Yes","No"))</f>
        <v/>
      </c>
      <c r="U157" s="44">
        <f>IF(G157="","",IF(T157="No","Running",IF(AND(N(O157)&gt;='KPI Benchmarks'!$D$5,N(Q157)&gt;='KPI Benchmarks'!$D$6,OR(N(L157)&gt;0,N(K157)&gt;0)),"WINNER",IF(AND(N(O157)&gt;='KPI Benchmarks'!$D$5,N(Q157)&gt;='KPI Benchmarks'!$D$6),"Watch","Cut"))))</f>
        <v/>
      </c>
      <c r="V157" s="27">
        <f>IF(U157="WINNER",IF(N(L157)&gt;0,"Prospecting (ASC / interests)","Retargeting candidate"),IF(U157="Watch","Retest or retargeting","" ))</f>
        <v/>
      </c>
      <c r="W157" s="13" t="n"/>
    </row>
    <row r="158">
      <c r="A158" s="13" t="n"/>
      <c r="B158" s="13" t="n"/>
      <c r="C158" s="13" t="n"/>
      <c r="D158" s="13" t="n"/>
      <c r="E158" s="13" t="n"/>
      <c r="F158" s="13" t="n"/>
      <c r="G158" s="40" t="n"/>
      <c r="H158" s="35" t="n"/>
      <c r="I158" s="40" t="n"/>
      <c r="J158" s="40" t="n"/>
      <c r="K158" s="40" t="n"/>
      <c r="L158" s="40" t="n"/>
      <c r="M158" s="34" t="n"/>
      <c r="N158" s="36">
        <f>IFERROR(H158/G158*1000,"")</f>
        <v/>
      </c>
      <c r="O158" s="41">
        <f>IFERROR(I158/G158,"")</f>
        <v/>
      </c>
      <c r="P158" s="41">
        <f>IFERROR(J158/G158,"")</f>
        <v/>
      </c>
      <c r="Q158" s="42">
        <f>IFERROR(P158/O158,"")</f>
        <v/>
      </c>
      <c r="R158" s="43">
        <f>IFERROR(K158/J158,"")</f>
        <v/>
      </c>
      <c r="S158" s="37">
        <f>IFERROR(M158/H158,"")</f>
        <v/>
      </c>
      <c r="T158" s="27">
        <f>IF(G158="","",IF(G158&gt;='KPI Benchmarks'!$D$14,"Yes","No"))</f>
        <v/>
      </c>
      <c r="U158" s="44">
        <f>IF(G158="","",IF(T158="No","Running",IF(AND(N(O158)&gt;='KPI Benchmarks'!$D$5,N(Q158)&gt;='KPI Benchmarks'!$D$6,OR(N(L158)&gt;0,N(K158)&gt;0)),"WINNER",IF(AND(N(O158)&gt;='KPI Benchmarks'!$D$5,N(Q158)&gt;='KPI Benchmarks'!$D$6),"Watch","Cut"))))</f>
        <v/>
      </c>
      <c r="V158" s="27">
        <f>IF(U158="WINNER",IF(N(L158)&gt;0,"Prospecting (ASC / interests)","Retargeting candidate"),IF(U158="Watch","Retest or retargeting","" ))</f>
        <v/>
      </c>
      <c r="W158" s="13" t="n"/>
    </row>
    <row r="159">
      <c r="A159" s="13" t="n"/>
      <c r="B159" s="13" t="n"/>
      <c r="C159" s="13" t="n"/>
      <c r="D159" s="13" t="n"/>
      <c r="E159" s="13" t="n"/>
      <c r="F159" s="13" t="n"/>
      <c r="G159" s="40" t="n"/>
      <c r="H159" s="35" t="n"/>
      <c r="I159" s="40" t="n"/>
      <c r="J159" s="40" t="n"/>
      <c r="K159" s="40" t="n"/>
      <c r="L159" s="40" t="n"/>
      <c r="M159" s="34" t="n"/>
      <c r="N159" s="36">
        <f>IFERROR(H159/G159*1000,"")</f>
        <v/>
      </c>
      <c r="O159" s="41">
        <f>IFERROR(I159/G159,"")</f>
        <v/>
      </c>
      <c r="P159" s="41">
        <f>IFERROR(J159/G159,"")</f>
        <v/>
      </c>
      <c r="Q159" s="42">
        <f>IFERROR(P159/O159,"")</f>
        <v/>
      </c>
      <c r="R159" s="43">
        <f>IFERROR(K159/J159,"")</f>
        <v/>
      </c>
      <c r="S159" s="37">
        <f>IFERROR(M159/H159,"")</f>
        <v/>
      </c>
      <c r="T159" s="27">
        <f>IF(G159="","",IF(G159&gt;='KPI Benchmarks'!$D$14,"Yes","No"))</f>
        <v/>
      </c>
      <c r="U159" s="44">
        <f>IF(G159="","",IF(T159="No","Running",IF(AND(N(O159)&gt;='KPI Benchmarks'!$D$5,N(Q159)&gt;='KPI Benchmarks'!$D$6,OR(N(L159)&gt;0,N(K159)&gt;0)),"WINNER",IF(AND(N(O159)&gt;='KPI Benchmarks'!$D$5,N(Q159)&gt;='KPI Benchmarks'!$D$6),"Watch","Cut"))))</f>
        <v/>
      </c>
      <c r="V159" s="27">
        <f>IF(U159="WINNER",IF(N(L159)&gt;0,"Prospecting (ASC / interests)","Retargeting candidate"),IF(U159="Watch","Retest or retargeting","" ))</f>
        <v/>
      </c>
      <c r="W159" s="13" t="n"/>
    </row>
    <row r="160">
      <c r="A160" s="13" t="n"/>
      <c r="B160" s="13" t="n"/>
      <c r="C160" s="13" t="n"/>
      <c r="D160" s="13" t="n"/>
      <c r="E160" s="13" t="n"/>
      <c r="F160" s="13" t="n"/>
      <c r="G160" s="40" t="n"/>
      <c r="H160" s="35" t="n"/>
      <c r="I160" s="40" t="n"/>
      <c r="J160" s="40" t="n"/>
      <c r="K160" s="40" t="n"/>
      <c r="L160" s="40" t="n"/>
      <c r="M160" s="34" t="n"/>
      <c r="N160" s="36">
        <f>IFERROR(H160/G160*1000,"")</f>
        <v/>
      </c>
      <c r="O160" s="41">
        <f>IFERROR(I160/G160,"")</f>
        <v/>
      </c>
      <c r="P160" s="41">
        <f>IFERROR(J160/G160,"")</f>
        <v/>
      </c>
      <c r="Q160" s="42">
        <f>IFERROR(P160/O160,"")</f>
        <v/>
      </c>
      <c r="R160" s="43">
        <f>IFERROR(K160/J160,"")</f>
        <v/>
      </c>
      <c r="S160" s="37">
        <f>IFERROR(M160/H160,"")</f>
        <v/>
      </c>
      <c r="T160" s="27">
        <f>IF(G160="","",IF(G160&gt;='KPI Benchmarks'!$D$14,"Yes","No"))</f>
        <v/>
      </c>
      <c r="U160" s="44">
        <f>IF(G160="","",IF(T160="No","Running",IF(AND(N(O160)&gt;='KPI Benchmarks'!$D$5,N(Q160)&gt;='KPI Benchmarks'!$D$6,OR(N(L160)&gt;0,N(K160)&gt;0)),"WINNER",IF(AND(N(O160)&gt;='KPI Benchmarks'!$D$5,N(Q160)&gt;='KPI Benchmarks'!$D$6),"Watch","Cut"))))</f>
        <v/>
      </c>
      <c r="V160" s="27">
        <f>IF(U160="WINNER",IF(N(L160)&gt;0,"Prospecting (ASC / interests)","Retargeting candidate"),IF(U160="Watch","Retest or retargeting","" ))</f>
        <v/>
      </c>
      <c r="W160" s="13" t="n"/>
    </row>
    <row r="161">
      <c r="A161" s="13" t="n"/>
      <c r="B161" s="13" t="n"/>
      <c r="C161" s="13" t="n"/>
      <c r="D161" s="13" t="n"/>
      <c r="E161" s="13" t="n"/>
      <c r="F161" s="13" t="n"/>
      <c r="G161" s="40" t="n"/>
      <c r="H161" s="35" t="n"/>
      <c r="I161" s="40" t="n"/>
      <c r="J161" s="40" t="n"/>
      <c r="K161" s="40" t="n"/>
      <c r="L161" s="40" t="n"/>
      <c r="M161" s="34" t="n"/>
      <c r="N161" s="36">
        <f>IFERROR(H161/G161*1000,"")</f>
        <v/>
      </c>
      <c r="O161" s="41">
        <f>IFERROR(I161/G161,"")</f>
        <v/>
      </c>
      <c r="P161" s="41">
        <f>IFERROR(J161/G161,"")</f>
        <v/>
      </c>
      <c r="Q161" s="42">
        <f>IFERROR(P161/O161,"")</f>
        <v/>
      </c>
      <c r="R161" s="43">
        <f>IFERROR(K161/J161,"")</f>
        <v/>
      </c>
      <c r="S161" s="37">
        <f>IFERROR(M161/H161,"")</f>
        <v/>
      </c>
      <c r="T161" s="27">
        <f>IF(G161="","",IF(G161&gt;='KPI Benchmarks'!$D$14,"Yes","No"))</f>
        <v/>
      </c>
      <c r="U161" s="44">
        <f>IF(G161="","",IF(T161="No","Running",IF(AND(N(O161)&gt;='KPI Benchmarks'!$D$5,N(Q161)&gt;='KPI Benchmarks'!$D$6,OR(N(L161)&gt;0,N(K161)&gt;0)),"WINNER",IF(AND(N(O161)&gt;='KPI Benchmarks'!$D$5,N(Q161)&gt;='KPI Benchmarks'!$D$6),"Watch","Cut"))))</f>
        <v/>
      </c>
      <c r="V161" s="27">
        <f>IF(U161="WINNER",IF(N(L161)&gt;0,"Prospecting (ASC / interests)","Retargeting candidate"),IF(U161="Watch","Retest or retargeting","" ))</f>
        <v/>
      </c>
      <c r="W161" s="13" t="n"/>
    </row>
    <row r="162">
      <c r="A162" s="13" t="n"/>
      <c r="B162" s="13" t="n"/>
      <c r="C162" s="13" t="n"/>
      <c r="D162" s="13" t="n"/>
      <c r="E162" s="13" t="n"/>
      <c r="F162" s="13" t="n"/>
      <c r="G162" s="40" t="n"/>
      <c r="H162" s="35" t="n"/>
      <c r="I162" s="40" t="n"/>
      <c r="J162" s="40" t="n"/>
      <c r="K162" s="40" t="n"/>
      <c r="L162" s="40" t="n"/>
      <c r="M162" s="34" t="n"/>
      <c r="N162" s="36">
        <f>IFERROR(H162/G162*1000,"")</f>
        <v/>
      </c>
      <c r="O162" s="41">
        <f>IFERROR(I162/G162,"")</f>
        <v/>
      </c>
      <c r="P162" s="41">
        <f>IFERROR(J162/G162,"")</f>
        <v/>
      </c>
      <c r="Q162" s="42">
        <f>IFERROR(P162/O162,"")</f>
        <v/>
      </c>
      <c r="R162" s="43">
        <f>IFERROR(K162/J162,"")</f>
        <v/>
      </c>
      <c r="S162" s="37">
        <f>IFERROR(M162/H162,"")</f>
        <v/>
      </c>
      <c r="T162" s="27">
        <f>IF(G162="","",IF(G162&gt;='KPI Benchmarks'!$D$14,"Yes","No"))</f>
        <v/>
      </c>
      <c r="U162" s="44">
        <f>IF(G162="","",IF(T162="No","Running",IF(AND(N(O162)&gt;='KPI Benchmarks'!$D$5,N(Q162)&gt;='KPI Benchmarks'!$D$6,OR(N(L162)&gt;0,N(K162)&gt;0)),"WINNER",IF(AND(N(O162)&gt;='KPI Benchmarks'!$D$5,N(Q162)&gt;='KPI Benchmarks'!$D$6),"Watch","Cut"))))</f>
        <v/>
      </c>
      <c r="V162" s="27">
        <f>IF(U162="WINNER",IF(N(L162)&gt;0,"Prospecting (ASC / interests)","Retargeting candidate"),IF(U162="Watch","Retest or retargeting","" ))</f>
        <v/>
      </c>
      <c r="W162" s="13" t="n"/>
    </row>
    <row r="163">
      <c r="A163" s="13" t="n"/>
      <c r="B163" s="13" t="n"/>
      <c r="C163" s="13" t="n"/>
      <c r="D163" s="13" t="n"/>
      <c r="E163" s="13" t="n"/>
      <c r="F163" s="13" t="n"/>
      <c r="G163" s="40" t="n"/>
      <c r="H163" s="35" t="n"/>
      <c r="I163" s="40" t="n"/>
      <c r="J163" s="40" t="n"/>
      <c r="K163" s="40" t="n"/>
      <c r="L163" s="40" t="n"/>
      <c r="M163" s="34" t="n"/>
      <c r="N163" s="36">
        <f>IFERROR(H163/G163*1000,"")</f>
        <v/>
      </c>
      <c r="O163" s="41">
        <f>IFERROR(I163/G163,"")</f>
        <v/>
      </c>
      <c r="P163" s="41">
        <f>IFERROR(J163/G163,"")</f>
        <v/>
      </c>
      <c r="Q163" s="42">
        <f>IFERROR(P163/O163,"")</f>
        <v/>
      </c>
      <c r="R163" s="43">
        <f>IFERROR(K163/J163,"")</f>
        <v/>
      </c>
      <c r="S163" s="37">
        <f>IFERROR(M163/H163,"")</f>
        <v/>
      </c>
      <c r="T163" s="27">
        <f>IF(G163="","",IF(G163&gt;='KPI Benchmarks'!$D$14,"Yes","No"))</f>
        <v/>
      </c>
      <c r="U163" s="44">
        <f>IF(G163="","",IF(T163="No","Running",IF(AND(N(O163)&gt;='KPI Benchmarks'!$D$5,N(Q163)&gt;='KPI Benchmarks'!$D$6,OR(N(L163)&gt;0,N(K163)&gt;0)),"WINNER",IF(AND(N(O163)&gt;='KPI Benchmarks'!$D$5,N(Q163)&gt;='KPI Benchmarks'!$D$6),"Watch","Cut"))))</f>
        <v/>
      </c>
      <c r="V163" s="27">
        <f>IF(U163="WINNER",IF(N(L163)&gt;0,"Prospecting (ASC / interests)","Retargeting candidate"),IF(U163="Watch","Retest or retargeting","" ))</f>
        <v/>
      </c>
      <c r="W163" s="13" t="n"/>
    </row>
    <row r="164">
      <c r="A164" s="13" t="n"/>
      <c r="B164" s="13" t="n"/>
      <c r="C164" s="13" t="n"/>
      <c r="D164" s="13" t="n"/>
      <c r="E164" s="13" t="n"/>
      <c r="F164" s="13" t="n"/>
      <c r="G164" s="40" t="n"/>
      <c r="H164" s="35" t="n"/>
      <c r="I164" s="40" t="n"/>
      <c r="J164" s="40" t="n"/>
      <c r="K164" s="40" t="n"/>
      <c r="L164" s="40" t="n"/>
      <c r="M164" s="34" t="n"/>
      <c r="N164" s="36">
        <f>IFERROR(H164/G164*1000,"")</f>
        <v/>
      </c>
      <c r="O164" s="41">
        <f>IFERROR(I164/G164,"")</f>
        <v/>
      </c>
      <c r="P164" s="41">
        <f>IFERROR(J164/G164,"")</f>
        <v/>
      </c>
      <c r="Q164" s="42">
        <f>IFERROR(P164/O164,"")</f>
        <v/>
      </c>
      <c r="R164" s="43">
        <f>IFERROR(K164/J164,"")</f>
        <v/>
      </c>
      <c r="S164" s="37">
        <f>IFERROR(M164/H164,"")</f>
        <v/>
      </c>
      <c r="T164" s="27">
        <f>IF(G164="","",IF(G164&gt;='KPI Benchmarks'!$D$14,"Yes","No"))</f>
        <v/>
      </c>
      <c r="U164" s="44">
        <f>IF(G164="","",IF(T164="No","Running",IF(AND(N(O164)&gt;='KPI Benchmarks'!$D$5,N(Q164)&gt;='KPI Benchmarks'!$D$6,OR(N(L164)&gt;0,N(K164)&gt;0)),"WINNER",IF(AND(N(O164)&gt;='KPI Benchmarks'!$D$5,N(Q164)&gt;='KPI Benchmarks'!$D$6),"Watch","Cut"))))</f>
        <v/>
      </c>
      <c r="V164" s="27">
        <f>IF(U164="WINNER",IF(N(L164)&gt;0,"Prospecting (ASC / interests)","Retargeting candidate"),IF(U164="Watch","Retest or retargeting","" ))</f>
        <v/>
      </c>
      <c r="W164" s="13" t="n"/>
    </row>
    <row r="165">
      <c r="A165" s="13" t="n"/>
      <c r="B165" s="13" t="n"/>
      <c r="C165" s="13" t="n"/>
      <c r="D165" s="13" t="n"/>
      <c r="E165" s="13" t="n"/>
      <c r="F165" s="13" t="n"/>
      <c r="G165" s="40" t="n"/>
      <c r="H165" s="35" t="n"/>
      <c r="I165" s="40" t="n"/>
      <c r="J165" s="40" t="n"/>
      <c r="K165" s="40" t="n"/>
      <c r="L165" s="40" t="n"/>
      <c r="M165" s="34" t="n"/>
      <c r="N165" s="36">
        <f>IFERROR(H165/G165*1000,"")</f>
        <v/>
      </c>
      <c r="O165" s="41">
        <f>IFERROR(I165/G165,"")</f>
        <v/>
      </c>
      <c r="P165" s="41">
        <f>IFERROR(J165/G165,"")</f>
        <v/>
      </c>
      <c r="Q165" s="42">
        <f>IFERROR(P165/O165,"")</f>
        <v/>
      </c>
      <c r="R165" s="43">
        <f>IFERROR(K165/J165,"")</f>
        <v/>
      </c>
      <c r="S165" s="37">
        <f>IFERROR(M165/H165,"")</f>
        <v/>
      </c>
      <c r="T165" s="27">
        <f>IF(G165="","",IF(G165&gt;='KPI Benchmarks'!$D$14,"Yes","No"))</f>
        <v/>
      </c>
      <c r="U165" s="44">
        <f>IF(G165="","",IF(T165="No","Running",IF(AND(N(O165)&gt;='KPI Benchmarks'!$D$5,N(Q165)&gt;='KPI Benchmarks'!$D$6,OR(N(L165)&gt;0,N(K165)&gt;0)),"WINNER",IF(AND(N(O165)&gt;='KPI Benchmarks'!$D$5,N(Q165)&gt;='KPI Benchmarks'!$D$6),"Watch","Cut"))))</f>
        <v/>
      </c>
      <c r="V165" s="27">
        <f>IF(U165="WINNER",IF(N(L165)&gt;0,"Prospecting (ASC / interests)","Retargeting candidate"),IF(U165="Watch","Retest or retargeting","" ))</f>
        <v/>
      </c>
      <c r="W165" s="13" t="n"/>
    </row>
    <row r="166">
      <c r="A166" s="13" t="n"/>
      <c r="B166" s="13" t="n"/>
      <c r="C166" s="13" t="n"/>
      <c r="D166" s="13" t="n"/>
      <c r="E166" s="13" t="n"/>
      <c r="F166" s="13" t="n"/>
      <c r="G166" s="40" t="n"/>
      <c r="H166" s="35" t="n"/>
      <c r="I166" s="40" t="n"/>
      <c r="J166" s="40" t="n"/>
      <c r="K166" s="40" t="n"/>
      <c r="L166" s="40" t="n"/>
      <c r="M166" s="34" t="n"/>
      <c r="N166" s="36">
        <f>IFERROR(H166/G166*1000,"")</f>
        <v/>
      </c>
      <c r="O166" s="41">
        <f>IFERROR(I166/G166,"")</f>
        <v/>
      </c>
      <c r="P166" s="41">
        <f>IFERROR(J166/G166,"")</f>
        <v/>
      </c>
      <c r="Q166" s="42">
        <f>IFERROR(P166/O166,"")</f>
        <v/>
      </c>
      <c r="R166" s="43">
        <f>IFERROR(K166/J166,"")</f>
        <v/>
      </c>
      <c r="S166" s="37">
        <f>IFERROR(M166/H166,"")</f>
        <v/>
      </c>
      <c r="T166" s="27">
        <f>IF(G166="","",IF(G166&gt;='KPI Benchmarks'!$D$14,"Yes","No"))</f>
        <v/>
      </c>
      <c r="U166" s="44">
        <f>IF(G166="","",IF(T166="No","Running",IF(AND(N(O166)&gt;='KPI Benchmarks'!$D$5,N(Q166)&gt;='KPI Benchmarks'!$D$6,OR(N(L166)&gt;0,N(K166)&gt;0)),"WINNER",IF(AND(N(O166)&gt;='KPI Benchmarks'!$D$5,N(Q166)&gt;='KPI Benchmarks'!$D$6),"Watch","Cut"))))</f>
        <v/>
      </c>
      <c r="V166" s="27">
        <f>IF(U166="WINNER",IF(N(L166)&gt;0,"Prospecting (ASC / interests)","Retargeting candidate"),IF(U166="Watch","Retest or retargeting","" ))</f>
        <v/>
      </c>
      <c r="W166" s="13" t="n"/>
    </row>
    <row r="167">
      <c r="A167" s="13" t="n"/>
      <c r="B167" s="13" t="n"/>
      <c r="C167" s="13" t="n"/>
      <c r="D167" s="13" t="n"/>
      <c r="E167" s="13" t="n"/>
      <c r="F167" s="13" t="n"/>
      <c r="G167" s="40" t="n"/>
      <c r="H167" s="35" t="n"/>
      <c r="I167" s="40" t="n"/>
      <c r="J167" s="40" t="n"/>
      <c r="K167" s="40" t="n"/>
      <c r="L167" s="40" t="n"/>
      <c r="M167" s="34" t="n"/>
      <c r="N167" s="36">
        <f>IFERROR(H167/G167*1000,"")</f>
        <v/>
      </c>
      <c r="O167" s="41">
        <f>IFERROR(I167/G167,"")</f>
        <v/>
      </c>
      <c r="P167" s="41">
        <f>IFERROR(J167/G167,"")</f>
        <v/>
      </c>
      <c r="Q167" s="42">
        <f>IFERROR(P167/O167,"")</f>
        <v/>
      </c>
      <c r="R167" s="43">
        <f>IFERROR(K167/J167,"")</f>
        <v/>
      </c>
      <c r="S167" s="37">
        <f>IFERROR(M167/H167,"")</f>
        <v/>
      </c>
      <c r="T167" s="27">
        <f>IF(G167="","",IF(G167&gt;='KPI Benchmarks'!$D$14,"Yes","No"))</f>
        <v/>
      </c>
      <c r="U167" s="44">
        <f>IF(G167="","",IF(T167="No","Running",IF(AND(N(O167)&gt;='KPI Benchmarks'!$D$5,N(Q167)&gt;='KPI Benchmarks'!$D$6,OR(N(L167)&gt;0,N(K167)&gt;0)),"WINNER",IF(AND(N(O167)&gt;='KPI Benchmarks'!$D$5,N(Q167)&gt;='KPI Benchmarks'!$D$6),"Watch","Cut"))))</f>
        <v/>
      </c>
      <c r="V167" s="27">
        <f>IF(U167="WINNER",IF(N(L167)&gt;0,"Prospecting (ASC / interests)","Retargeting candidate"),IF(U167="Watch","Retest or retargeting","" ))</f>
        <v/>
      </c>
      <c r="W167" s="13" t="n"/>
    </row>
    <row r="168">
      <c r="A168" s="13" t="n"/>
      <c r="B168" s="13" t="n"/>
      <c r="C168" s="13" t="n"/>
      <c r="D168" s="13" t="n"/>
      <c r="E168" s="13" t="n"/>
      <c r="F168" s="13" t="n"/>
      <c r="G168" s="40" t="n"/>
      <c r="H168" s="35" t="n"/>
      <c r="I168" s="40" t="n"/>
      <c r="J168" s="40" t="n"/>
      <c r="K168" s="40" t="n"/>
      <c r="L168" s="40" t="n"/>
      <c r="M168" s="34" t="n"/>
      <c r="N168" s="36">
        <f>IFERROR(H168/G168*1000,"")</f>
        <v/>
      </c>
      <c r="O168" s="41">
        <f>IFERROR(I168/G168,"")</f>
        <v/>
      </c>
      <c r="P168" s="41">
        <f>IFERROR(J168/G168,"")</f>
        <v/>
      </c>
      <c r="Q168" s="42">
        <f>IFERROR(P168/O168,"")</f>
        <v/>
      </c>
      <c r="R168" s="43">
        <f>IFERROR(K168/J168,"")</f>
        <v/>
      </c>
      <c r="S168" s="37">
        <f>IFERROR(M168/H168,"")</f>
        <v/>
      </c>
      <c r="T168" s="27">
        <f>IF(G168="","",IF(G168&gt;='KPI Benchmarks'!$D$14,"Yes","No"))</f>
        <v/>
      </c>
      <c r="U168" s="44">
        <f>IF(G168="","",IF(T168="No","Running",IF(AND(N(O168)&gt;='KPI Benchmarks'!$D$5,N(Q168)&gt;='KPI Benchmarks'!$D$6,OR(N(L168)&gt;0,N(K168)&gt;0)),"WINNER",IF(AND(N(O168)&gt;='KPI Benchmarks'!$D$5,N(Q168)&gt;='KPI Benchmarks'!$D$6),"Watch","Cut"))))</f>
        <v/>
      </c>
      <c r="V168" s="27">
        <f>IF(U168="WINNER",IF(N(L168)&gt;0,"Prospecting (ASC / interests)","Retargeting candidate"),IF(U168="Watch","Retest or retargeting","" ))</f>
        <v/>
      </c>
      <c r="W168" s="13" t="n"/>
    </row>
    <row r="169">
      <c r="A169" s="13" t="n"/>
      <c r="B169" s="13" t="n"/>
      <c r="C169" s="13" t="n"/>
      <c r="D169" s="13" t="n"/>
      <c r="E169" s="13" t="n"/>
      <c r="F169" s="13" t="n"/>
      <c r="G169" s="40" t="n"/>
      <c r="H169" s="35" t="n"/>
      <c r="I169" s="40" t="n"/>
      <c r="J169" s="40" t="n"/>
      <c r="K169" s="40" t="n"/>
      <c r="L169" s="40" t="n"/>
      <c r="M169" s="34" t="n"/>
      <c r="N169" s="36">
        <f>IFERROR(H169/G169*1000,"")</f>
        <v/>
      </c>
      <c r="O169" s="41">
        <f>IFERROR(I169/G169,"")</f>
        <v/>
      </c>
      <c r="P169" s="41">
        <f>IFERROR(J169/G169,"")</f>
        <v/>
      </c>
      <c r="Q169" s="42">
        <f>IFERROR(P169/O169,"")</f>
        <v/>
      </c>
      <c r="R169" s="43">
        <f>IFERROR(K169/J169,"")</f>
        <v/>
      </c>
      <c r="S169" s="37">
        <f>IFERROR(M169/H169,"")</f>
        <v/>
      </c>
      <c r="T169" s="27">
        <f>IF(G169="","",IF(G169&gt;='KPI Benchmarks'!$D$14,"Yes","No"))</f>
        <v/>
      </c>
      <c r="U169" s="44">
        <f>IF(G169="","",IF(T169="No","Running",IF(AND(N(O169)&gt;='KPI Benchmarks'!$D$5,N(Q169)&gt;='KPI Benchmarks'!$D$6,OR(N(L169)&gt;0,N(K169)&gt;0)),"WINNER",IF(AND(N(O169)&gt;='KPI Benchmarks'!$D$5,N(Q169)&gt;='KPI Benchmarks'!$D$6),"Watch","Cut"))))</f>
        <v/>
      </c>
      <c r="V169" s="27">
        <f>IF(U169="WINNER",IF(N(L169)&gt;0,"Prospecting (ASC / interests)","Retargeting candidate"),IF(U169="Watch","Retest or retargeting","" ))</f>
        <v/>
      </c>
      <c r="W169" s="13" t="n"/>
    </row>
    <row r="170">
      <c r="A170" s="13" t="n"/>
      <c r="B170" s="13" t="n"/>
      <c r="C170" s="13" t="n"/>
      <c r="D170" s="13" t="n"/>
      <c r="E170" s="13" t="n"/>
      <c r="F170" s="13" t="n"/>
      <c r="G170" s="40" t="n"/>
      <c r="H170" s="35" t="n"/>
      <c r="I170" s="40" t="n"/>
      <c r="J170" s="40" t="n"/>
      <c r="K170" s="40" t="n"/>
      <c r="L170" s="40" t="n"/>
      <c r="M170" s="34" t="n"/>
      <c r="N170" s="36">
        <f>IFERROR(H170/G170*1000,"")</f>
        <v/>
      </c>
      <c r="O170" s="41">
        <f>IFERROR(I170/G170,"")</f>
        <v/>
      </c>
      <c r="P170" s="41">
        <f>IFERROR(J170/G170,"")</f>
        <v/>
      </c>
      <c r="Q170" s="42">
        <f>IFERROR(P170/O170,"")</f>
        <v/>
      </c>
      <c r="R170" s="43">
        <f>IFERROR(K170/J170,"")</f>
        <v/>
      </c>
      <c r="S170" s="37">
        <f>IFERROR(M170/H170,"")</f>
        <v/>
      </c>
      <c r="T170" s="27">
        <f>IF(G170="","",IF(G170&gt;='KPI Benchmarks'!$D$14,"Yes","No"))</f>
        <v/>
      </c>
      <c r="U170" s="44">
        <f>IF(G170="","",IF(T170="No","Running",IF(AND(N(O170)&gt;='KPI Benchmarks'!$D$5,N(Q170)&gt;='KPI Benchmarks'!$D$6,OR(N(L170)&gt;0,N(K170)&gt;0)),"WINNER",IF(AND(N(O170)&gt;='KPI Benchmarks'!$D$5,N(Q170)&gt;='KPI Benchmarks'!$D$6),"Watch","Cut"))))</f>
        <v/>
      </c>
      <c r="V170" s="27">
        <f>IF(U170="WINNER",IF(N(L170)&gt;0,"Prospecting (ASC / interests)","Retargeting candidate"),IF(U170="Watch","Retest or retargeting","" ))</f>
        <v/>
      </c>
      <c r="W170" s="13" t="n"/>
    </row>
    <row r="171">
      <c r="A171" s="13" t="n"/>
      <c r="B171" s="13" t="n"/>
      <c r="C171" s="13" t="n"/>
      <c r="D171" s="13" t="n"/>
      <c r="E171" s="13" t="n"/>
      <c r="F171" s="13" t="n"/>
      <c r="G171" s="40" t="n"/>
      <c r="H171" s="35" t="n"/>
      <c r="I171" s="40" t="n"/>
      <c r="J171" s="40" t="n"/>
      <c r="K171" s="40" t="n"/>
      <c r="L171" s="40" t="n"/>
      <c r="M171" s="34" t="n"/>
      <c r="N171" s="36">
        <f>IFERROR(H171/G171*1000,"")</f>
        <v/>
      </c>
      <c r="O171" s="41">
        <f>IFERROR(I171/G171,"")</f>
        <v/>
      </c>
      <c r="P171" s="41">
        <f>IFERROR(J171/G171,"")</f>
        <v/>
      </c>
      <c r="Q171" s="42">
        <f>IFERROR(P171/O171,"")</f>
        <v/>
      </c>
      <c r="R171" s="43">
        <f>IFERROR(K171/J171,"")</f>
        <v/>
      </c>
      <c r="S171" s="37">
        <f>IFERROR(M171/H171,"")</f>
        <v/>
      </c>
      <c r="T171" s="27">
        <f>IF(G171="","",IF(G171&gt;='KPI Benchmarks'!$D$14,"Yes","No"))</f>
        <v/>
      </c>
      <c r="U171" s="44">
        <f>IF(G171="","",IF(T171="No","Running",IF(AND(N(O171)&gt;='KPI Benchmarks'!$D$5,N(Q171)&gt;='KPI Benchmarks'!$D$6,OR(N(L171)&gt;0,N(K171)&gt;0)),"WINNER",IF(AND(N(O171)&gt;='KPI Benchmarks'!$D$5,N(Q171)&gt;='KPI Benchmarks'!$D$6),"Watch","Cut"))))</f>
        <v/>
      </c>
      <c r="V171" s="27">
        <f>IF(U171="WINNER",IF(N(L171)&gt;0,"Prospecting (ASC / interests)","Retargeting candidate"),IF(U171="Watch","Retest or retargeting","" ))</f>
        <v/>
      </c>
      <c r="W171" s="13" t="n"/>
    </row>
    <row r="172">
      <c r="A172" s="13" t="n"/>
      <c r="B172" s="13" t="n"/>
      <c r="C172" s="13" t="n"/>
      <c r="D172" s="13" t="n"/>
      <c r="E172" s="13" t="n"/>
      <c r="F172" s="13" t="n"/>
      <c r="G172" s="40" t="n"/>
      <c r="H172" s="35" t="n"/>
      <c r="I172" s="40" t="n"/>
      <c r="J172" s="40" t="n"/>
      <c r="K172" s="40" t="n"/>
      <c r="L172" s="40" t="n"/>
      <c r="M172" s="34" t="n"/>
      <c r="N172" s="36">
        <f>IFERROR(H172/G172*1000,"")</f>
        <v/>
      </c>
      <c r="O172" s="41">
        <f>IFERROR(I172/G172,"")</f>
        <v/>
      </c>
      <c r="P172" s="41">
        <f>IFERROR(J172/G172,"")</f>
        <v/>
      </c>
      <c r="Q172" s="42">
        <f>IFERROR(P172/O172,"")</f>
        <v/>
      </c>
      <c r="R172" s="43">
        <f>IFERROR(K172/J172,"")</f>
        <v/>
      </c>
      <c r="S172" s="37">
        <f>IFERROR(M172/H172,"")</f>
        <v/>
      </c>
      <c r="T172" s="27">
        <f>IF(G172="","",IF(G172&gt;='KPI Benchmarks'!$D$14,"Yes","No"))</f>
        <v/>
      </c>
      <c r="U172" s="44">
        <f>IF(G172="","",IF(T172="No","Running",IF(AND(N(O172)&gt;='KPI Benchmarks'!$D$5,N(Q172)&gt;='KPI Benchmarks'!$D$6,OR(N(L172)&gt;0,N(K172)&gt;0)),"WINNER",IF(AND(N(O172)&gt;='KPI Benchmarks'!$D$5,N(Q172)&gt;='KPI Benchmarks'!$D$6),"Watch","Cut"))))</f>
        <v/>
      </c>
      <c r="V172" s="27">
        <f>IF(U172="WINNER",IF(N(L172)&gt;0,"Prospecting (ASC / interests)","Retargeting candidate"),IF(U172="Watch","Retest or retargeting","" ))</f>
        <v/>
      </c>
      <c r="W172" s="13" t="n"/>
    </row>
    <row r="173">
      <c r="A173" s="13" t="n"/>
      <c r="B173" s="13" t="n"/>
      <c r="C173" s="13" t="n"/>
      <c r="D173" s="13" t="n"/>
      <c r="E173" s="13" t="n"/>
      <c r="F173" s="13" t="n"/>
      <c r="G173" s="40" t="n"/>
      <c r="H173" s="35" t="n"/>
      <c r="I173" s="40" t="n"/>
      <c r="J173" s="40" t="n"/>
      <c r="K173" s="40" t="n"/>
      <c r="L173" s="40" t="n"/>
      <c r="M173" s="34" t="n"/>
      <c r="N173" s="36">
        <f>IFERROR(H173/G173*1000,"")</f>
        <v/>
      </c>
      <c r="O173" s="41">
        <f>IFERROR(I173/G173,"")</f>
        <v/>
      </c>
      <c r="P173" s="41">
        <f>IFERROR(J173/G173,"")</f>
        <v/>
      </c>
      <c r="Q173" s="42">
        <f>IFERROR(P173/O173,"")</f>
        <v/>
      </c>
      <c r="R173" s="43">
        <f>IFERROR(K173/J173,"")</f>
        <v/>
      </c>
      <c r="S173" s="37">
        <f>IFERROR(M173/H173,"")</f>
        <v/>
      </c>
      <c r="T173" s="27">
        <f>IF(G173="","",IF(G173&gt;='KPI Benchmarks'!$D$14,"Yes","No"))</f>
        <v/>
      </c>
      <c r="U173" s="44">
        <f>IF(G173="","",IF(T173="No","Running",IF(AND(N(O173)&gt;='KPI Benchmarks'!$D$5,N(Q173)&gt;='KPI Benchmarks'!$D$6,OR(N(L173)&gt;0,N(K173)&gt;0)),"WINNER",IF(AND(N(O173)&gt;='KPI Benchmarks'!$D$5,N(Q173)&gt;='KPI Benchmarks'!$D$6),"Watch","Cut"))))</f>
        <v/>
      </c>
      <c r="V173" s="27">
        <f>IF(U173="WINNER",IF(N(L173)&gt;0,"Prospecting (ASC / interests)","Retargeting candidate"),IF(U173="Watch","Retest or retargeting","" ))</f>
        <v/>
      </c>
      <c r="W173" s="13" t="n"/>
    </row>
    <row r="174">
      <c r="A174" s="13" t="n"/>
      <c r="B174" s="13" t="n"/>
      <c r="C174" s="13" t="n"/>
      <c r="D174" s="13" t="n"/>
      <c r="E174" s="13" t="n"/>
      <c r="F174" s="13" t="n"/>
      <c r="G174" s="40" t="n"/>
      <c r="H174" s="35" t="n"/>
      <c r="I174" s="40" t="n"/>
      <c r="J174" s="40" t="n"/>
      <c r="K174" s="40" t="n"/>
      <c r="L174" s="40" t="n"/>
      <c r="M174" s="34" t="n"/>
      <c r="N174" s="36">
        <f>IFERROR(H174/G174*1000,"")</f>
        <v/>
      </c>
      <c r="O174" s="41">
        <f>IFERROR(I174/G174,"")</f>
        <v/>
      </c>
      <c r="P174" s="41">
        <f>IFERROR(J174/G174,"")</f>
        <v/>
      </c>
      <c r="Q174" s="42">
        <f>IFERROR(P174/O174,"")</f>
        <v/>
      </c>
      <c r="R174" s="43">
        <f>IFERROR(K174/J174,"")</f>
        <v/>
      </c>
      <c r="S174" s="37">
        <f>IFERROR(M174/H174,"")</f>
        <v/>
      </c>
      <c r="T174" s="27">
        <f>IF(G174="","",IF(G174&gt;='KPI Benchmarks'!$D$14,"Yes","No"))</f>
        <v/>
      </c>
      <c r="U174" s="44">
        <f>IF(G174="","",IF(T174="No","Running",IF(AND(N(O174)&gt;='KPI Benchmarks'!$D$5,N(Q174)&gt;='KPI Benchmarks'!$D$6,OR(N(L174)&gt;0,N(K174)&gt;0)),"WINNER",IF(AND(N(O174)&gt;='KPI Benchmarks'!$D$5,N(Q174)&gt;='KPI Benchmarks'!$D$6),"Watch","Cut"))))</f>
        <v/>
      </c>
      <c r="V174" s="27">
        <f>IF(U174="WINNER",IF(N(L174)&gt;0,"Prospecting (ASC / interests)","Retargeting candidate"),IF(U174="Watch","Retest or retargeting","" ))</f>
        <v/>
      </c>
      <c r="W174" s="13" t="n"/>
    </row>
    <row r="175">
      <c r="A175" s="13" t="n"/>
      <c r="B175" s="13" t="n"/>
      <c r="C175" s="13" t="n"/>
      <c r="D175" s="13" t="n"/>
      <c r="E175" s="13" t="n"/>
      <c r="F175" s="13" t="n"/>
      <c r="G175" s="40" t="n"/>
      <c r="H175" s="35" t="n"/>
      <c r="I175" s="40" t="n"/>
      <c r="J175" s="40" t="n"/>
      <c r="K175" s="40" t="n"/>
      <c r="L175" s="40" t="n"/>
      <c r="M175" s="34" t="n"/>
      <c r="N175" s="36">
        <f>IFERROR(H175/G175*1000,"")</f>
        <v/>
      </c>
      <c r="O175" s="41">
        <f>IFERROR(I175/G175,"")</f>
        <v/>
      </c>
      <c r="P175" s="41">
        <f>IFERROR(J175/G175,"")</f>
        <v/>
      </c>
      <c r="Q175" s="42">
        <f>IFERROR(P175/O175,"")</f>
        <v/>
      </c>
      <c r="R175" s="43">
        <f>IFERROR(K175/J175,"")</f>
        <v/>
      </c>
      <c r="S175" s="37">
        <f>IFERROR(M175/H175,"")</f>
        <v/>
      </c>
      <c r="T175" s="27">
        <f>IF(G175="","",IF(G175&gt;='KPI Benchmarks'!$D$14,"Yes","No"))</f>
        <v/>
      </c>
      <c r="U175" s="44">
        <f>IF(G175="","",IF(T175="No","Running",IF(AND(N(O175)&gt;='KPI Benchmarks'!$D$5,N(Q175)&gt;='KPI Benchmarks'!$D$6,OR(N(L175)&gt;0,N(K175)&gt;0)),"WINNER",IF(AND(N(O175)&gt;='KPI Benchmarks'!$D$5,N(Q175)&gt;='KPI Benchmarks'!$D$6),"Watch","Cut"))))</f>
        <v/>
      </c>
      <c r="V175" s="27">
        <f>IF(U175="WINNER",IF(N(L175)&gt;0,"Prospecting (ASC / interests)","Retargeting candidate"),IF(U175="Watch","Retest or retargeting","" ))</f>
        <v/>
      </c>
      <c r="W175" s="13" t="n"/>
    </row>
    <row r="176">
      <c r="A176" s="13" t="n"/>
      <c r="B176" s="13" t="n"/>
      <c r="C176" s="13" t="n"/>
      <c r="D176" s="13" t="n"/>
      <c r="E176" s="13" t="n"/>
      <c r="F176" s="13" t="n"/>
      <c r="G176" s="40" t="n"/>
      <c r="H176" s="35" t="n"/>
      <c r="I176" s="40" t="n"/>
      <c r="J176" s="40" t="n"/>
      <c r="K176" s="40" t="n"/>
      <c r="L176" s="40" t="n"/>
      <c r="M176" s="34" t="n"/>
      <c r="N176" s="36">
        <f>IFERROR(H176/G176*1000,"")</f>
        <v/>
      </c>
      <c r="O176" s="41">
        <f>IFERROR(I176/G176,"")</f>
        <v/>
      </c>
      <c r="P176" s="41">
        <f>IFERROR(J176/G176,"")</f>
        <v/>
      </c>
      <c r="Q176" s="42">
        <f>IFERROR(P176/O176,"")</f>
        <v/>
      </c>
      <c r="R176" s="43">
        <f>IFERROR(K176/J176,"")</f>
        <v/>
      </c>
      <c r="S176" s="37">
        <f>IFERROR(M176/H176,"")</f>
        <v/>
      </c>
      <c r="T176" s="27">
        <f>IF(G176="","",IF(G176&gt;='KPI Benchmarks'!$D$14,"Yes","No"))</f>
        <v/>
      </c>
      <c r="U176" s="44">
        <f>IF(G176="","",IF(T176="No","Running",IF(AND(N(O176)&gt;='KPI Benchmarks'!$D$5,N(Q176)&gt;='KPI Benchmarks'!$D$6,OR(N(L176)&gt;0,N(K176)&gt;0)),"WINNER",IF(AND(N(O176)&gt;='KPI Benchmarks'!$D$5,N(Q176)&gt;='KPI Benchmarks'!$D$6),"Watch","Cut"))))</f>
        <v/>
      </c>
      <c r="V176" s="27">
        <f>IF(U176="WINNER",IF(N(L176)&gt;0,"Prospecting (ASC / interests)","Retargeting candidate"),IF(U176="Watch","Retest or retargeting","" ))</f>
        <v/>
      </c>
      <c r="W176" s="13" t="n"/>
    </row>
    <row r="177">
      <c r="A177" s="13" t="n"/>
      <c r="B177" s="13" t="n"/>
      <c r="C177" s="13" t="n"/>
      <c r="D177" s="13" t="n"/>
      <c r="E177" s="13" t="n"/>
      <c r="F177" s="13" t="n"/>
      <c r="G177" s="40" t="n"/>
      <c r="H177" s="35" t="n"/>
      <c r="I177" s="40" t="n"/>
      <c r="J177" s="40" t="n"/>
      <c r="K177" s="40" t="n"/>
      <c r="L177" s="40" t="n"/>
      <c r="M177" s="34" t="n"/>
      <c r="N177" s="36">
        <f>IFERROR(H177/G177*1000,"")</f>
        <v/>
      </c>
      <c r="O177" s="41">
        <f>IFERROR(I177/G177,"")</f>
        <v/>
      </c>
      <c r="P177" s="41">
        <f>IFERROR(J177/G177,"")</f>
        <v/>
      </c>
      <c r="Q177" s="42">
        <f>IFERROR(P177/O177,"")</f>
        <v/>
      </c>
      <c r="R177" s="43">
        <f>IFERROR(K177/J177,"")</f>
        <v/>
      </c>
      <c r="S177" s="37">
        <f>IFERROR(M177/H177,"")</f>
        <v/>
      </c>
      <c r="T177" s="27">
        <f>IF(G177="","",IF(G177&gt;='KPI Benchmarks'!$D$14,"Yes","No"))</f>
        <v/>
      </c>
      <c r="U177" s="44">
        <f>IF(G177="","",IF(T177="No","Running",IF(AND(N(O177)&gt;='KPI Benchmarks'!$D$5,N(Q177)&gt;='KPI Benchmarks'!$D$6,OR(N(L177)&gt;0,N(K177)&gt;0)),"WINNER",IF(AND(N(O177)&gt;='KPI Benchmarks'!$D$5,N(Q177)&gt;='KPI Benchmarks'!$D$6),"Watch","Cut"))))</f>
        <v/>
      </c>
      <c r="V177" s="27">
        <f>IF(U177="WINNER",IF(N(L177)&gt;0,"Prospecting (ASC / interests)","Retargeting candidate"),IF(U177="Watch","Retest or retargeting","" ))</f>
        <v/>
      </c>
      <c r="W177" s="13" t="n"/>
    </row>
    <row r="178">
      <c r="A178" s="13" t="n"/>
      <c r="B178" s="13" t="n"/>
      <c r="C178" s="13" t="n"/>
      <c r="D178" s="13" t="n"/>
      <c r="E178" s="13" t="n"/>
      <c r="F178" s="13" t="n"/>
      <c r="G178" s="40" t="n"/>
      <c r="H178" s="35" t="n"/>
      <c r="I178" s="40" t="n"/>
      <c r="J178" s="40" t="n"/>
      <c r="K178" s="40" t="n"/>
      <c r="L178" s="40" t="n"/>
      <c r="M178" s="34" t="n"/>
      <c r="N178" s="36">
        <f>IFERROR(H178/G178*1000,"")</f>
        <v/>
      </c>
      <c r="O178" s="41">
        <f>IFERROR(I178/G178,"")</f>
        <v/>
      </c>
      <c r="P178" s="41">
        <f>IFERROR(J178/G178,"")</f>
        <v/>
      </c>
      <c r="Q178" s="42">
        <f>IFERROR(P178/O178,"")</f>
        <v/>
      </c>
      <c r="R178" s="43">
        <f>IFERROR(K178/J178,"")</f>
        <v/>
      </c>
      <c r="S178" s="37">
        <f>IFERROR(M178/H178,"")</f>
        <v/>
      </c>
      <c r="T178" s="27">
        <f>IF(G178="","",IF(G178&gt;='KPI Benchmarks'!$D$14,"Yes","No"))</f>
        <v/>
      </c>
      <c r="U178" s="44">
        <f>IF(G178="","",IF(T178="No","Running",IF(AND(N(O178)&gt;='KPI Benchmarks'!$D$5,N(Q178)&gt;='KPI Benchmarks'!$D$6,OR(N(L178)&gt;0,N(K178)&gt;0)),"WINNER",IF(AND(N(O178)&gt;='KPI Benchmarks'!$D$5,N(Q178)&gt;='KPI Benchmarks'!$D$6),"Watch","Cut"))))</f>
        <v/>
      </c>
      <c r="V178" s="27">
        <f>IF(U178="WINNER",IF(N(L178)&gt;0,"Prospecting (ASC / interests)","Retargeting candidate"),IF(U178="Watch","Retest or retargeting","" ))</f>
        <v/>
      </c>
      <c r="W178" s="13" t="n"/>
    </row>
    <row r="179">
      <c r="A179" s="13" t="n"/>
      <c r="B179" s="13" t="n"/>
      <c r="C179" s="13" t="n"/>
      <c r="D179" s="13" t="n"/>
      <c r="E179" s="13" t="n"/>
      <c r="F179" s="13" t="n"/>
      <c r="G179" s="40" t="n"/>
      <c r="H179" s="35" t="n"/>
      <c r="I179" s="40" t="n"/>
      <c r="J179" s="40" t="n"/>
      <c r="K179" s="40" t="n"/>
      <c r="L179" s="40" t="n"/>
      <c r="M179" s="34" t="n"/>
      <c r="N179" s="36">
        <f>IFERROR(H179/G179*1000,"")</f>
        <v/>
      </c>
      <c r="O179" s="41">
        <f>IFERROR(I179/G179,"")</f>
        <v/>
      </c>
      <c r="P179" s="41">
        <f>IFERROR(J179/G179,"")</f>
        <v/>
      </c>
      <c r="Q179" s="42">
        <f>IFERROR(P179/O179,"")</f>
        <v/>
      </c>
      <c r="R179" s="43">
        <f>IFERROR(K179/J179,"")</f>
        <v/>
      </c>
      <c r="S179" s="37">
        <f>IFERROR(M179/H179,"")</f>
        <v/>
      </c>
      <c r="T179" s="27">
        <f>IF(G179="","",IF(G179&gt;='KPI Benchmarks'!$D$14,"Yes","No"))</f>
        <v/>
      </c>
      <c r="U179" s="44">
        <f>IF(G179="","",IF(T179="No","Running",IF(AND(N(O179)&gt;='KPI Benchmarks'!$D$5,N(Q179)&gt;='KPI Benchmarks'!$D$6,OR(N(L179)&gt;0,N(K179)&gt;0)),"WINNER",IF(AND(N(O179)&gt;='KPI Benchmarks'!$D$5,N(Q179)&gt;='KPI Benchmarks'!$D$6),"Watch","Cut"))))</f>
        <v/>
      </c>
      <c r="V179" s="27">
        <f>IF(U179="WINNER",IF(N(L179)&gt;0,"Prospecting (ASC / interests)","Retargeting candidate"),IF(U179="Watch","Retest or retargeting","" ))</f>
        <v/>
      </c>
      <c r="W179" s="13" t="n"/>
    </row>
    <row r="180">
      <c r="A180" s="13" t="n"/>
      <c r="B180" s="13" t="n"/>
      <c r="C180" s="13" t="n"/>
      <c r="D180" s="13" t="n"/>
      <c r="E180" s="13" t="n"/>
      <c r="F180" s="13" t="n"/>
      <c r="G180" s="40" t="n"/>
      <c r="H180" s="35" t="n"/>
      <c r="I180" s="40" t="n"/>
      <c r="J180" s="40" t="n"/>
      <c r="K180" s="40" t="n"/>
      <c r="L180" s="40" t="n"/>
      <c r="M180" s="34" t="n"/>
      <c r="N180" s="36">
        <f>IFERROR(H180/G180*1000,"")</f>
        <v/>
      </c>
      <c r="O180" s="41">
        <f>IFERROR(I180/G180,"")</f>
        <v/>
      </c>
      <c r="P180" s="41">
        <f>IFERROR(J180/G180,"")</f>
        <v/>
      </c>
      <c r="Q180" s="42">
        <f>IFERROR(P180/O180,"")</f>
        <v/>
      </c>
      <c r="R180" s="43">
        <f>IFERROR(K180/J180,"")</f>
        <v/>
      </c>
      <c r="S180" s="37">
        <f>IFERROR(M180/H180,"")</f>
        <v/>
      </c>
      <c r="T180" s="27">
        <f>IF(G180="","",IF(G180&gt;='KPI Benchmarks'!$D$14,"Yes","No"))</f>
        <v/>
      </c>
      <c r="U180" s="44">
        <f>IF(G180="","",IF(T180="No","Running",IF(AND(N(O180)&gt;='KPI Benchmarks'!$D$5,N(Q180)&gt;='KPI Benchmarks'!$D$6,OR(N(L180)&gt;0,N(K180)&gt;0)),"WINNER",IF(AND(N(O180)&gt;='KPI Benchmarks'!$D$5,N(Q180)&gt;='KPI Benchmarks'!$D$6),"Watch","Cut"))))</f>
        <v/>
      </c>
      <c r="V180" s="27">
        <f>IF(U180="WINNER",IF(N(L180)&gt;0,"Prospecting (ASC / interests)","Retargeting candidate"),IF(U180="Watch","Retest or retargeting","" ))</f>
        <v/>
      </c>
      <c r="W180" s="13" t="n"/>
    </row>
    <row r="181">
      <c r="A181" s="13" t="n"/>
      <c r="B181" s="13" t="n"/>
      <c r="C181" s="13" t="n"/>
      <c r="D181" s="13" t="n"/>
      <c r="E181" s="13" t="n"/>
      <c r="F181" s="13" t="n"/>
      <c r="G181" s="40" t="n"/>
      <c r="H181" s="35" t="n"/>
      <c r="I181" s="40" t="n"/>
      <c r="J181" s="40" t="n"/>
      <c r="K181" s="40" t="n"/>
      <c r="L181" s="40" t="n"/>
      <c r="M181" s="34" t="n"/>
      <c r="N181" s="36">
        <f>IFERROR(H181/G181*1000,"")</f>
        <v/>
      </c>
      <c r="O181" s="41">
        <f>IFERROR(I181/G181,"")</f>
        <v/>
      </c>
      <c r="P181" s="41">
        <f>IFERROR(J181/G181,"")</f>
        <v/>
      </c>
      <c r="Q181" s="42">
        <f>IFERROR(P181/O181,"")</f>
        <v/>
      </c>
      <c r="R181" s="43">
        <f>IFERROR(K181/J181,"")</f>
        <v/>
      </c>
      <c r="S181" s="37">
        <f>IFERROR(M181/H181,"")</f>
        <v/>
      </c>
      <c r="T181" s="27">
        <f>IF(G181="","",IF(G181&gt;='KPI Benchmarks'!$D$14,"Yes","No"))</f>
        <v/>
      </c>
      <c r="U181" s="44">
        <f>IF(G181="","",IF(T181="No","Running",IF(AND(N(O181)&gt;='KPI Benchmarks'!$D$5,N(Q181)&gt;='KPI Benchmarks'!$D$6,OR(N(L181)&gt;0,N(K181)&gt;0)),"WINNER",IF(AND(N(O181)&gt;='KPI Benchmarks'!$D$5,N(Q181)&gt;='KPI Benchmarks'!$D$6),"Watch","Cut"))))</f>
        <v/>
      </c>
      <c r="V181" s="27">
        <f>IF(U181="WINNER",IF(N(L181)&gt;0,"Prospecting (ASC / interests)","Retargeting candidate"),IF(U181="Watch","Retest or retargeting","" ))</f>
        <v/>
      </c>
      <c r="W181" s="13" t="n"/>
    </row>
    <row r="182">
      <c r="A182" s="13" t="n"/>
      <c r="B182" s="13" t="n"/>
      <c r="C182" s="13" t="n"/>
      <c r="D182" s="13" t="n"/>
      <c r="E182" s="13" t="n"/>
      <c r="F182" s="13" t="n"/>
      <c r="G182" s="40" t="n"/>
      <c r="H182" s="35" t="n"/>
      <c r="I182" s="40" t="n"/>
      <c r="J182" s="40" t="n"/>
      <c r="K182" s="40" t="n"/>
      <c r="L182" s="40" t="n"/>
      <c r="M182" s="34" t="n"/>
      <c r="N182" s="36">
        <f>IFERROR(H182/G182*1000,"")</f>
        <v/>
      </c>
      <c r="O182" s="41">
        <f>IFERROR(I182/G182,"")</f>
        <v/>
      </c>
      <c r="P182" s="41">
        <f>IFERROR(J182/G182,"")</f>
        <v/>
      </c>
      <c r="Q182" s="42">
        <f>IFERROR(P182/O182,"")</f>
        <v/>
      </c>
      <c r="R182" s="43">
        <f>IFERROR(K182/J182,"")</f>
        <v/>
      </c>
      <c r="S182" s="37">
        <f>IFERROR(M182/H182,"")</f>
        <v/>
      </c>
      <c r="T182" s="27">
        <f>IF(G182="","",IF(G182&gt;='KPI Benchmarks'!$D$14,"Yes","No"))</f>
        <v/>
      </c>
      <c r="U182" s="44">
        <f>IF(G182="","",IF(T182="No","Running",IF(AND(N(O182)&gt;='KPI Benchmarks'!$D$5,N(Q182)&gt;='KPI Benchmarks'!$D$6,OR(N(L182)&gt;0,N(K182)&gt;0)),"WINNER",IF(AND(N(O182)&gt;='KPI Benchmarks'!$D$5,N(Q182)&gt;='KPI Benchmarks'!$D$6),"Watch","Cut"))))</f>
        <v/>
      </c>
      <c r="V182" s="27">
        <f>IF(U182="WINNER",IF(N(L182)&gt;0,"Prospecting (ASC / interests)","Retargeting candidate"),IF(U182="Watch","Retest or retargeting","" ))</f>
        <v/>
      </c>
      <c r="W182" s="13" t="n"/>
    </row>
    <row r="183">
      <c r="A183" s="13" t="n"/>
      <c r="B183" s="13" t="n"/>
      <c r="C183" s="13" t="n"/>
      <c r="D183" s="13" t="n"/>
      <c r="E183" s="13" t="n"/>
      <c r="F183" s="13" t="n"/>
      <c r="G183" s="40" t="n"/>
      <c r="H183" s="35" t="n"/>
      <c r="I183" s="40" t="n"/>
      <c r="J183" s="40" t="n"/>
      <c r="K183" s="40" t="n"/>
      <c r="L183" s="40" t="n"/>
      <c r="M183" s="34" t="n"/>
      <c r="N183" s="36">
        <f>IFERROR(H183/G183*1000,"")</f>
        <v/>
      </c>
      <c r="O183" s="41">
        <f>IFERROR(I183/G183,"")</f>
        <v/>
      </c>
      <c r="P183" s="41">
        <f>IFERROR(J183/G183,"")</f>
        <v/>
      </c>
      <c r="Q183" s="42">
        <f>IFERROR(P183/O183,"")</f>
        <v/>
      </c>
      <c r="R183" s="43">
        <f>IFERROR(K183/J183,"")</f>
        <v/>
      </c>
      <c r="S183" s="37">
        <f>IFERROR(M183/H183,"")</f>
        <v/>
      </c>
      <c r="T183" s="27">
        <f>IF(G183="","",IF(G183&gt;='KPI Benchmarks'!$D$14,"Yes","No"))</f>
        <v/>
      </c>
      <c r="U183" s="44">
        <f>IF(G183="","",IF(T183="No","Running",IF(AND(N(O183)&gt;='KPI Benchmarks'!$D$5,N(Q183)&gt;='KPI Benchmarks'!$D$6,OR(N(L183)&gt;0,N(K183)&gt;0)),"WINNER",IF(AND(N(O183)&gt;='KPI Benchmarks'!$D$5,N(Q183)&gt;='KPI Benchmarks'!$D$6),"Watch","Cut"))))</f>
        <v/>
      </c>
      <c r="V183" s="27">
        <f>IF(U183="WINNER",IF(N(L183)&gt;0,"Prospecting (ASC / interests)","Retargeting candidate"),IF(U183="Watch","Retest or retargeting","" ))</f>
        <v/>
      </c>
      <c r="W183" s="13" t="n"/>
    </row>
    <row r="184">
      <c r="A184" s="13" t="n"/>
      <c r="B184" s="13" t="n"/>
      <c r="C184" s="13" t="n"/>
      <c r="D184" s="13" t="n"/>
      <c r="E184" s="13" t="n"/>
      <c r="F184" s="13" t="n"/>
      <c r="G184" s="40" t="n"/>
      <c r="H184" s="35" t="n"/>
      <c r="I184" s="40" t="n"/>
      <c r="J184" s="40" t="n"/>
      <c r="K184" s="40" t="n"/>
      <c r="L184" s="40" t="n"/>
      <c r="M184" s="34" t="n"/>
      <c r="N184" s="36">
        <f>IFERROR(H184/G184*1000,"")</f>
        <v/>
      </c>
      <c r="O184" s="41">
        <f>IFERROR(I184/G184,"")</f>
        <v/>
      </c>
      <c r="P184" s="41">
        <f>IFERROR(J184/G184,"")</f>
        <v/>
      </c>
      <c r="Q184" s="42">
        <f>IFERROR(P184/O184,"")</f>
        <v/>
      </c>
      <c r="R184" s="43">
        <f>IFERROR(K184/J184,"")</f>
        <v/>
      </c>
      <c r="S184" s="37">
        <f>IFERROR(M184/H184,"")</f>
        <v/>
      </c>
      <c r="T184" s="27">
        <f>IF(G184="","",IF(G184&gt;='KPI Benchmarks'!$D$14,"Yes","No"))</f>
        <v/>
      </c>
      <c r="U184" s="44">
        <f>IF(G184="","",IF(T184="No","Running",IF(AND(N(O184)&gt;='KPI Benchmarks'!$D$5,N(Q184)&gt;='KPI Benchmarks'!$D$6,OR(N(L184)&gt;0,N(K184)&gt;0)),"WINNER",IF(AND(N(O184)&gt;='KPI Benchmarks'!$D$5,N(Q184)&gt;='KPI Benchmarks'!$D$6),"Watch","Cut"))))</f>
        <v/>
      </c>
      <c r="V184" s="27">
        <f>IF(U184="WINNER",IF(N(L184)&gt;0,"Prospecting (ASC / interests)","Retargeting candidate"),IF(U184="Watch","Retest or retargeting","" ))</f>
        <v/>
      </c>
      <c r="W184" s="13" t="n"/>
    </row>
    <row r="185">
      <c r="A185" s="13" t="n"/>
      <c r="B185" s="13" t="n"/>
      <c r="C185" s="13" t="n"/>
      <c r="D185" s="13" t="n"/>
      <c r="E185" s="13" t="n"/>
      <c r="F185" s="13" t="n"/>
      <c r="G185" s="40" t="n"/>
      <c r="H185" s="35" t="n"/>
      <c r="I185" s="40" t="n"/>
      <c r="J185" s="40" t="n"/>
      <c r="K185" s="40" t="n"/>
      <c r="L185" s="40" t="n"/>
      <c r="M185" s="34" t="n"/>
      <c r="N185" s="36">
        <f>IFERROR(H185/G185*1000,"")</f>
        <v/>
      </c>
      <c r="O185" s="41">
        <f>IFERROR(I185/G185,"")</f>
        <v/>
      </c>
      <c r="P185" s="41">
        <f>IFERROR(J185/G185,"")</f>
        <v/>
      </c>
      <c r="Q185" s="42">
        <f>IFERROR(P185/O185,"")</f>
        <v/>
      </c>
      <c r="R185" s="43">
        <f>IFERROR(K185/J185,"")</f>
        <v/>
      </c>
      <c r="S185" s="37">
        <f>IFERROR(M185/H185,"")</f>
        <v/>
      </c>
      <c r="T185" s="27">
        <f>IF(G185="","",IF(G185&gt;='KPI Benchmarks'!$D$14,"Yes","No"))</f>
        <v/>
      </c>
      <c r="U185" s="44">
        <f>IF(G185="","",IF(T185="No","Running",IF(AND(N(O185)&gt;='KPI Benchmarks'!$D$5,N(Q185)&gt;='KPI Benchmarks'!$D$6,OR(N(L185)&gt;0,N(K185)&gt;0)),"WINNER",IF(AND(N(O185)&gt;='KPI Benchmarks'!$D$5,N(Q185)&gt;='KPI Benchmarks'!$D$6),"Watch","Cut"))))</f>
        <v/>
      </c>
      <c r="V185" s="27">
        <f>IF(U185="WINNER",IF(N(L185)&gt;0,"Prospecting (ASC / interests)","Retargeting candidate"),IF(U185="Watch","Retest or retargeting","" ))</f>
        <v/>
      </c>
      <c r="W185" s="13" t="n"/>
    </row>
    <row r="186">
      <c r="A186" s="13" t="n"/>
      <c r="B186" s="13" t="n"/>
      <c r="C186" s="13" t="n"/>
      <c r="D186" s="13" t="n"/>
      <c r="E186" s="13" t="n"/>
      <c r="F186" s="13" t="n"/>
      <c r="G186" s="40" t="n"/>
      <c r="H186" s="35" t="n"/>
      <c r="I186" s="40" t="n"/>
      <c r="J186" s="40" t="n"/>
      <c r="K186" s="40" t="n"/>
      <c r="L186" s="40" t="n"/>
      <c r="M186" s="34" t="n"/>
      <c r="N186" s="36">
        <f>IFERROR(H186/G186*1000,"")</f>
        <v/>
      </c>
      <c r="O186" s="41">
        <f>IFERROR(I186/G186,"")</f>
        <v/>
      </c>
      <c r="P186" s="41">
        <f>IFERROR(J186/G186,"")</f>
        <v/>
      </c>
      <c r="Q186" s="42">
        <f>IFERROR(P186/O186,"")</f>
        <v/>
      </c>
      <c r="R186" s="43">
        <f>IFERROR(K186/J186,"")</f>
        <v/>
      </c>
      <c r="S186" s="37">
        <f>IFERROR(M186/H186,"")</f>
        <v/>
      </c>
      <c r="T186" s="27">
        <f>IF(G186="","",IF(G186&gt;='KPI Benchmarks'!$D$14,"Yes","No"))</f>
        <v/>
      </c>
      <c r="U186" s="44">
        <f>IF(G186="","",IF(T186="No","Running",IF(AND(N(O186)&gt;='KPI Benchmarks'!$D$5,N(Q186)&gt;='KPI Benchmarks'!$D$6,OR(N(L186)&gt;0,N(K186)&gt;0)),"WINNER",IF(AND(N(O186)&gt;='KPI Benchmarks'!$D$5,N(Q186)&gt;='KPI Benchmarks'!$D$6),"Watch","Cut"))))</f>
        <v/>
      </c>
      <c r="V186" s="27">
        <f>IF(U186="WINNER",IF(N(L186)&gt;0,"Prospecting (ASC / interests)","Retargeting candidate"),IF(U186="Watch","Retest or retargeting","" ))</f>
        <v/>
      </c>
      <c r="W186" s="13" t="n"/>
    </row>
    <row r="187">
      <c r="A187" s="13" t="n"/>
      <c r="B187" s="13" t="n"/>
      <c r="C187" s="13" t="n"/>
      <c r="D187" s="13" t="n"/>
      <c r="E187" s="13" t="n"/>
      <c r="F187" s="13" t="n"/>
      <c r="G187" s="40" t="n"/>
      <c r="H187" s="35" t="n"/>
      <c r="I187" s="40" t="n"/>
      <c r="J187" s="40" t="n"/>
      <c r="K187" s="40" t="n"/>
      <c r="L187" s="40" t="n"/>
      <c r="M187" s="34" t="n"/>
      <c r="N187" s="36">
        <f>IFERROR(H187/G187*1000,"")</f>
        <v/>
      </c>
      <c r="O187" s="41">
        <f>IFERROR(I187/G187,"")</f>
        <v/>
      </c>
      <c r="P187" s="41">
        <f>IFERROR(J187/G187,"")</f>
        <v/>
      </c>
      <c r="Q187" s="42">
        <f>IFERROR(P187/O187,"")</f>
        <v/>
      </c>
      <c r="R187" s="43">
        <f>IFERROR(K187/J187,"")</f>
        <v/>
      </c>
      <c r="S187" s="37">
        <f>IFERROR(M187/H187,"")</f>
        <v/>
      </c>
      <c r="T187" s="27">
        <f>IF(G187="","",IF(G187&gt;='KPI Benchmarks'!$D$14,"Yes","No"))</f>
        <v/>
      </c>
      <c r="U187" s="44">
        <f>IF(G187="","",IF(T187="No","Running",IF(AND(N(O187)&gt;='KPI Benchmarks'!$D$5,N(Q187)&gt;='KPI Benchmarks'!$D$6,OR(N(L187)&gt;0,N(K187)&gt;0)),"WINNER",IF(AND(N(O187)&gt;='KPI Benchmarks'!$D$5,N(Q187)&gt;='KPI Benchmarks'!$D$6),"Watch","Cut"))))</f>
        <v/>
      </c>
      <c r="V187" s="27">
        <f>IF(U187="WINNER",IF(N(L187)&gt;0,"Prospecting (ASC / interests)","Retargeting candidate"),IF(U187="Watch","Retest or retargeting","" ))</f>
        <v/>
      </c>
      <c r="W187" s="13" t="n"/>
    </row>
    <row r="188">
      <c r="A188" s="13" t="n"/>
      <c r="B188" s="13" t="n"/>
      <c r="C188" s="13" t="n"/>
      <c r="D188" s="13" t="n"/>
      <c r="E188" s="13" t="n"/>
      <c r="F188" s="13" t="n"/>
      <c r="G188" s="40" t="n"/>
      <c r="H188" s="35" t="n"/>
      <c r="I188" s="40" t="n"/>
      <c r="J188" s="40" t="n"/>
      <c r="K188" s="40" t="n"/>
      <c r="L188" s="40" t="n"/>
      <c r="M188" s="34" t="n"/>
      <c r="N188" s="36">
        <f>IFERROR(H188/G188*1000,"")</f>
        <v/>
      </c>
      <c r="O188" s="41">
        <f>IFERROR(I188/G188,"")</f>
        <v/>
      </c>
      <c r="P188" s="41">
        <f>IFERROR(J188/G188,"")</f>
        <v/>
      </c>
      <c r="Q188" s="42">
        <f>IFERROR(P188/O188,"")</f>
        <v/>
      </c>
      <c r="R188" s="43">
        <f>IFERROR(K188/J188,"")</f>
        <v/>
      </c>
      <c r="S188" s="37">
        <f>IFERROR(M188/H188,"")</f>
        <v/>
      </c>
      <c r="T188" s="27">
        <f>IF(G188="","",IF(G188&gt;='KPI Benchmarks'!$D$14,"Yes","No"))</f>
        <v/>
      </c>
      <c r="U188" s="44">
        <f>IF(G188="","",IF(T188="No","Running",IF(AND(N(O188)&gt;='KPI Benchmarks'!$D$5,N(Q188)&gt;='KPI Benchmarks'!$D$6,OR(N(L188)&gt;0,N(K188)&gt;0)),"WINNER",IF(AND(N(O188)&gt;='KPI Benchmarks'!$D$5,N(Q188)&gt;='KPI Benchmarks'!$D$6),"Watch","Cut"))))</f>
        <v/>
      </c>
      <c r="V188" s="27">
        <f>IF(U188="WINNER",IF(N(L188)&gt;0,"Prospecting (ASC / interests)","Retargeting candidate"),IF(U188="Watch","Retest or retargeting","" ))</f>
        <v/>
      </c>
      <c r="W188" s="13" t="n"/>
    </row>
    <row r="189">
      <c r="A189" s="13" t="n"/>
      <c r="B189" s="13" t="n"/>
      <c r="C189" s="13" t="n"/>
      <c r="D189" s="13" t="n"/>
      <c r="E189" s="13" t="n"/>
      <c r="F189" s="13" t="n"/>
      <c r="G189" s="40" t="n"/>
      <c r="H189" s="35" t="n"/>
      <c r="I189" s="40" t="n"/>
      <c r="J189" s="40" t="n"/>
      <c r="K189" s="40" t="n"/>
      <c r="L189" s="40" t="n"/>
      <c r="M189" s="34" t="n"/>
      <c r="N189" s="36">
        <f>IFERROR(H189/G189*1000,"")</f>
        <v/>
      </c>
      <c r="O189" s="41">
        <f>IFERROR(I189/G189,"")</f>
        <v/>
      </c>
      <c r="P189" s="41">
        <f>IFERROR(J189/G189,"")</f>
        <v/>
      </c>
      <c r="Q189" s="42">
        <f>IFERROR(P189/O189,"")</f>
        <v/>
      </c>
      <c r="R189" s="43">
        <f>IFERROR(K189/J189,"")</f>
        <v/>
      </c>
      <c r="S189" s="37">
        <f>IFERROR(M189/H189,"")</f>
        <v/>
      </c>
      <c r="T189" s="27">
        <f>IF(G189="","",IF(G189&gt;='KPI Benchmarks'!$D$14,"Yes","No"))</f>
        <v/>
      </c>
      <c r="U189" s="44">
        <f>IF(G189="","",IF(T189="No","Running",IF(AND(N(O189)&gt;='KPI Benchmarks'!$D$5,N(Q189)&gt;='KPI Benchmarks'!$D$6,OR(N(L189)&gt;0,N(K189)&gt;0)),"WINNER",IF(AND(N(O189)&gt;='KPI Benchmarks'!$D$5,N(Q189)&gt;='KPI Benchmarks'!$D$6),"Watch","Cut"))))</f>
        <v/>
      </c>
      <c r="V189" s="27">
        <f>IF(U189="WINNER",IF(N(L189)&gt;0,"Prospecting (ASC / interests)","Retargeting candidate"),IF(U189="Watch","Retest or retargeting","" ))</f>
        <v/>
      </c>
      <c r="W189" s="13" t="n"/>
    </row>
    <row r="190">
      <c r="A190" s="13" t="n"/>
      <c r="B190" s="13" t="n"/>
      <c r="C190" s="13" t="n"/>
      <c r="D190" s="13" t="n"/>
      <c r="E190" s="13" t="n"/>
      <c r="F190" s="13" t="n"/>
      <c r="G190" s="40" t="n"/>
      <c r="H190" s="35" t="n"/>
      <c r="I190" s="40" t="n"/>
      <c r="J190" s="40" t="n"/>
      <c r="K190" s="40" t="n"/>
      <c r="L190" s="40" t="n"/>
      <c r="M190" s="34" t="n"/>
      <c r="N190" s="36">
        <f>IFERROR(H190/G190*1000,"")</f>
        <v/>
      </c>
      <c r="O190" s="41">
        <f>IFERROR(I190/G190,"")</f>
        <v/>
      </c>
      <c r="P190" s="41">
        <f>IFERROR(J190/G190,"")</f>
        <v/>
      </c>
      <c r="Q190" s="42">
        <f>IFERROR(P190/O190,"")</f>
        <v/>
      </c>
      <c r="R190" s="43">
        <f>IFERROR(K190/J190,"")</f>
        <v/>
      </c>
      <c r="S190" s="37">
        <f>IFERROR(M190/H190,"")</f>
        <v/>
      </c>
      <c r="T190" s="27">
        <f>IF(G190="","",IF(G190&gt;='KPI Benchmarks'!$D$14,"Yes","No"))</f>
        <v/>
      </c>
      <c r="U190" s="44">
        <f>IF(G190="","",IF(T190="No","Running",IF(AND(N(O190)&gt;='KPI Benchmarks'!$D$5,N(Q190)&gt;='KPI Benchmarks'!$D$6,OR(N(L190)&gt;0,N(K190)&gt;0)),"WINNER",IF(AND(N(O190)&gt;='KPI Benchmarks'!$D$5,N(Q190)&gt;='KPI Benchmarks'!$D$6),"Watch","Cut"))))</f>
        <v/>
      </c>
      <c r="V190" s="27">
        <f>IF(U190="WINNER",IF(N(L190)&gt;0,"Prospecting (ASC / interests)","Retargeting candidate"),IF(U190="Watch","Retest or retargeting","" ))</f>
        <v/>
      </c>
      <c r="W190" s="13" t="n"/>
    </row>
    <row r="191">
      <c r="A191" s="13" t="n"/>
      <c r="B191" s="13" t="n"/>
      <c r="C191" s="13" t="n"/>
      <c r="D191" s="13" t="n"/>
      <c r="E191" s="13" t="n"/>
      <c r="F191" s="13" t="n"/>
      <c r="G191" s="40" t="n"/>
      <c r="H191" s="35" t="n"/>
      <c r="I191" s="40" t="n"/>
      <c r="J191" s="40" t="n"/>
      <c r="K191" s="40" t="n"/>
      <c r="L191" s="40" t="n"/>
      <c r="M191" s="34" t="n"/>
      <c r="N191" s="36">
        <f>IFERROR(H191/G191*1000,"")</f>
        <v/>
      </c>
      <c r="O191" s="41">
        <f>IFERROR(I191/G191,"")</f>
        <v/>
      </c>
      <c r="P191" s="41">
        <f>IFERROR(J191/G191,"")</f>
        <v/>
      </c>
      <c r="Q191" s="42">
        <f>IFERROR(P191/O191,"")</f>
        <v/>
      </c>
      <c r="R191" s="43">
        <f>IFERROR(K191/J191,"")</f>
        <v/>
      </c>
      <c r="S191" s="37">
        <f>IFERROR(M191/H191,"")</f>
        <v/>
      </c>
      <c r="T191" s="27">
        <f>IF(G191="","",IF(G191&gt;='KPI Benchmarks'!$D$14,"Yes","No"))</f>
        <v/>
      </c>
      <c r="U191" s="44">
        <f>IF(G191="","",IF(T191="No","Running",IF(AND(N(O191)&gt;='KPI Benchmarks'!$D$5,N(Q191)&gt;='KPI Benchmarks'!$D$6,OR(N(L191)&gt;0,N(K191)&gt;0)),"WINNER",IF(AND(N(O191)&gt;='KPI Benchmarks'!$D$5,N(Q191)&gt;='KPI Benchmarks'!$D$6),"Watch","Cut"))))</f>
        <v/>
      </c>
      <c r="V191" s="27">
        <f>IF(U191="WINNER",IF(N(L191)&gt;0,"Prospecting (ASC / interests)","Retargeting candidate"),IF(U191="Watch","Retest or retargeting","" ))</f>
        <v/>
      </c>
      <c r="W191" s="13" t="n"/>
    </row>
    <row r="192">
      <c r="A192" s="13" t="n"/>
      <c r="B192" s="13" t="n"/>
      <c r="C192" s="13" t="n"/>
      <c r="D192" s="13" t="n"/>
      <c r="E192" s="13" t="n"/>
      <c r="F192" s="13" t="n"/>
      <c r="G192" s="40" t="n"/>
      <c r="H192" s="35" t="n"/>
      <c r="I192" s="40" t="n"/>
      <c r="J192" s="40" t="n"/>
      <c r="K192" s="40" t="n"/>
      <c r="L192" s="40" t="n"/>
      <c r="M192" s="34" t="n"/>
      <c r="N192" s="36">
        <f>IFERROR(H192/G192*1000,"")</f>
        <v/>
      </c>
      <c r="O192" s="41">
        <f>IFERROR(I192/G192,"")</f>
        <v/>
      </c>
      <c r="P192" s="41">
        <f>IFERROR(J192/G192,"")</f>
        <v/>
      </c>
      <c r="Q192" s="42">
        <f>IFERROR(P192/O192,"")</f>
        <v/>
      </c>
      <c r="R192" s="43">
        <f>IFERROR(K192/J192,"")</f>
        <v/>
      </c>
      <c r="S192" s="37">
        <f>IFERROR(M192/H192,"")</f>
        <v/>
      </c>
      <c r="T192" s="27">
        <f>IF(G192="","",IF(G192&gt;='KPI Benchmarks'!$D$14,"Yes","No"))</f>
        <v/>
      </c>
      <c r="U192" s="44">
        <f>IF(G192="","",IF(T192="No","Running",IF(AND(N(O192)&gt;='KPI Benchmarks'!$D$5,N(Q192)&gt;='KPI Benchmarks'!$D$6,OR(N(L192)&gt;0,N(K192)&gt;0)),"WINNER",IF(AND(N(O192)&gt;='KPI Benchmarks'!$D$5,N(Q192)&gt;='KPI Benchmarks'!$D$6),"Watch","Cut"))))</f>
        <v/>
      </c>
      <c r="V192" s="27">
        <f>IF(U192="WINNER",IF(N(L192)&gt;0,"Prospecting (ASC / interests)","Retargeting candidate"),IF(U192="Watch","Retest or retargeting","" ))</f>
        <v/>
      </c>
      <c r="W192" s="13" t="n"/>
    </row>
    <row r="193">
      <c r="A193" s="13" t="n"/>
      <c r="B193" s="13" t="n"/>
      <c r="C193" s="13" t="n"/>
      <c r="D193" s="13" t="n"/>
      <c r="E193" s="13" t="n"/>
      <c r="F193" s="13" t="n"/>
      <c r="G193" s="40" t="n"/>
      <c r="H193" s="35" t="n"/>
      <c r="I193" s="40" t="n"/>
      <c r="J193" s="40" t="n"/>
      <c r="K193" s="40" t="n"/>
      <c r="L193" s="40" t="n"/>
      <c r="M193" s="34" t="n"/>
      <c r="N193" s="36">
        <f>IFERROR(H193/G193*1000,"")</f>
        <v/>
      </c>
      <c r="O193" s="41">
        <f>IFERROR(I193/G193,"")</f>
        <v/>
      </c>
      <c r="P193" s="41">
        <f>IFERROR(J193/G193,"")</f>
        <v/>
      </c>
      <c r="Q193" s="42">
        <f>IFERROR(P193/O193,"")</f>
        <v/>
      </c>
      <c r="R193" s="43">
        <f>IFERROR(K193/J193,"")</f>
        <v/>
      </c>
      <c r="S193" s="37">
        <f>IFERROR(M193/H193,"")</f>
        <v/>
      </c>
      <c r="T193" s="27">
        <f>IF(G193="","",IF(G193&gt;='KPI Benchmarks'!$D$14,"Yes","No"))</f>
        <v/>
      </c>
      <c r="U193" s="44">
        <f>IF(G193="","",IF(T193="No","Running",IF(AND(N(O193)&gt;='KPI Benchmarks'!$D$5,N(Q193)&gt;='KPI Benchmarks'!$D$6,OR(N(L193)&gt;0,N(K193)&gt;0)),"WINNER",IF(AND(N(O193)&gt;='KPI Benchmarks'!$D$5,N(Q193)&gt;='KPI Benchmarks'!$D$6),"Watch","Cut"))))</f>
        <v/>
      </c>
      <c r="V193" s="27">
        <f>IF(U193="WINNER",IF(N(L193)&gt;0,"Prospecting (ASC / interests)","Retargeting candidate"),IF(U193="Watch","Retest or retargeting","" ))</f>
        <v/>
      </c>
      <c r="W193" s="13" t="n"/>
    </row>
    <row r="194">
      <c r="A194" s="13" t="n"/>
      <c r="B194" s="13" t="n"/>
      <c r="C194" s="13" t="n"/>
      <c r="D194" s="13" t="n"/>
      <c r="E194" s="13" t="n"/>
      <c r="F194" s="13" t="n"/>
      <c r="G194" s="40" t="n"/>
      <c r="H194" s="35" t="n"/>
      <c r="I194" s="40" t="n"/>
      <c r="J194" s="40" t="n"/>
      <c r="K194" s="40" t="n"/>
      <c r="L194" s="40" t="n"/>
      <c r="M194" s="34" t="n"/>
      <c r="N194" s="36">
        <f>IFERROR(H194/G194*1000,"")</f>
        <v/>
      </c>
      <c r="O194" s="41">
        <f>IFERROR(I194/G194,"")</f>
        <v/>
      </c>
      <c r="P194" s="41">
        <f>IFERROR(J194/G194,"")</f>
        <v/>
      </c>
      <c r="Q194" s="42">
        <f>IFERROR(P194/O194,"")</f>
        <v/>
      </c>
      <c r="R194" s="43">
        <f>IFERROR(K194/J194,"")</f>
        <v/>
      </c>
      <c r="S194" s="37">
        <f>IFERROR(M194/H194,"")</f>
        <v/>
      </c>
      <c r="T194" s="27">
        <f>IF(G194="","",IF(G194&gt;='KPI Benchmarks'!$D$14,"Yes","No"))</f>
        <v/>
      </c>
      <c r="U194" s="44">
        <f>IF(G194="","",IF(T194="No","Running",IF(AND(N(O194)&gt;='KPI Benchmarks'!$D$5,N(Q194)&gt;='KPI Benchmarks'!$D$6,OR(N(L194)&gt;0,N(K194)&gt;0)),"WINNER",IF(AND(N(O194)&gt;='KPI Benchmarks'!$D$5,N(Q194)&gt;='KPI Benchmarks'!$D$6),"Watch","Cut"))))</f>
        <v/>
      </c>
      <c r="V194" s="27">
        <f>IF(U194="WINNER",IF(N(L194)&gt;0,"Prospecting (ASC / interests)","Retargeting candidate"),IF(U194="Watch","Retest or retargeting","" ))</f>
        <v/>
      </c>
      <c r="W194" s="13" t="n"/>
    </row>
    <row r="195">
      <c r="A195" s="13" t="n"/>
      <c r="B195" s="13" t="n"/>
      <c r="C195" s="13" t="n"/>
      <c r="D195" s="13" t="n"/>
      <c r="E195" s="13" t="n"/>
      <c r="F195" s="13" t="n"/>
      <c r="G195" s="40" t="n"/>
      <c r="H195" s="35" t="n"/>
      <c r="I195" s="40" t="n"/>
      <c r="J195" s="40" t="n"/>
      <c r="K195" s="40" t="n"/>
      <c r="L195" s="40" t="n"/>
      <c r="M195" s="34" t="n"/>
      <c r="N195" s="36">
        <f>IFERROR(H195/G195*1000,"")</f>
        <v/>
      </c>
      <c r="O195" s="41">
        <f>IFERROR(I195/G195,"")</f>
        <v/>
      </c>
      <c r="P195" s="41">
        <f>IFERROR(J195/G195,"")</f>
        <v/>
      </c>
      <c r="Q195" s="42">
        <f>IFERROR(P195/O195,"")</f>
        <v/>
      </c>
      <c r="R195" s="43">
        <f>IFERROR(K195/J195,"")</f>
        <v/>
      </c>
      <c r="S195" s="37">
        <f>IFERROR(M195/H195,"")</f>
        <v/>
      </c>
      <c r="T195" s="27">
        <f>IF(G195="","",IF(G195&gt;='KPI Benchmarks'!$D$14,"Yes","No"))</f>
        <v/>
      </c>
      <c r="U195" s="44">
        <f>IF(G195="","",IF(T195="No","Running",IF(AND(N(O195)&gt;='KPI Benchmarks'!$D$5,N(Q195)&gt;='KPI Benchmarks'!$D$6,OR(N(L195)&gt;0,N(K195)&gt;0)),"WINNER",IF(AND(N(O195)&gt;='KPI Benchmarks'!$D$5,N(Q195)&gt;='KPI Benchmarks'!$D$6),"Watch","Cut"))))</f>
        <v/>
      </c>
      <c r="V195" s="27">
        <f>IF(U195="WINNER",IF(N(L195)&gt;0,"Prospecting (ASC / interests)","Retargeting candidate"),IF(U195="Watch","Retest or retargeting","" ))</f>
        <v/>
      </c>
      <c r="W195" s="13" t="n"/>
    </row>
    <row r="196">
      <c r="A196" s="13" t="n"/>
      <c r="B196" s="13" t="n"/>
      <c r="C196" s="13" t="n"/>
      <c r="D196" s="13" t="n"/>
      <c r="E196" s="13" t="n"/>
      <c r="F196" s="13" t="n"/>
      <c r="G196" s="40" t="n"/>
      <c r="H196" s="35" t="n"/>
      <c r="I196" s="40" t="n"/>
      <c r="J196" s="40" t="n"/>
      <c r="K196" s="40" t="n"/>
      <c r="L196" s="40" t="n"/>
      <c r="M196" s="34" t="n"/>
      <c r="N196" s="36">
        <f>IFERROR(H196/G196*1000,"")</f>
        <v/>
      </c>
      <c r="O196" s="41">
        <f>IFERROR(I196/G196,"")</f>
        <v/>
      </c>
      <c r="P196" s="41">
        <f>IFERROR(J196/G196,"")</f>
        <v/>
      </c>
      <c r="Q196" s="42">
        <f>IFERROR(P196/O196,"")</f>
        <v/>
      </c>
      <c r="R196" s="43">
        <f>IFERROR(K196/J196,"")</f>
        <v/>
      </c>
      <c r="S196" s="37">
        <f>IFERROR(M196/H196,"")</f>
        <v/>
      </c>
      <c r="T196" s="27">
        <f>IF(G196="","",IF(G196&gt;='KPI Benchmarks'!$D$14,"Yes","No"))</f>
        <v/>
      </c>
      <c r="U196" s="44">
        <f>IF(G196="","",IF(T196="No","Running",IF(AND(N(O196)&gt;='KPI Benchmarks'!$D$5,N(Q196)&gt;='KPI Benchmarks'!$D$6,OR(N(L196)&gt;0,N(K196)&gt;0)),"WINNER",IF(AND(N(O196)&gt;='KPI Benchmarks'!$D$5,N(Q196)&gt;='KPI Benchmarks'!$D$6),"Watch","Cut"))))</f>
        <v/>
      </c>
      <c r="V196" s="27">
        <f>IF(U196="WINNER",IF(N(L196)&gt;0,"Prospecting (ASC / interests)","Retargeting candidate"),IF(U196="Watch","Retest or retargeting","" ))</f>
        <v/>
      </c>
      <c r="W196" s="13" t="n"/>
    </row>
    <row r="197">
      <c r="A197" s="13" t="n"/>
      <c r="B197" s="13" t="n"/>
      <c r="C197" s="13" t="n"/>
      <c r="D197" s="13" t="n"/>
      <c r="E197" s="13" t="n"/>
      <c r="F197" s="13" t="n"/>
      <c r="G197" s="40" t="n"/>
      <c r="H197" s="35" t="n"/>
      <c r="I197" s="40" t="n"/>
      <c r="J197" s="40" t="n"/>
      <c r="K197" s="40" t="n"/>
      <c r="L197" s="40" t="n"/>
      <c r="M197" s="34" t="n"/>
      <c r="N197" s="36">
        <f>IFERROR(H197/G197*1000,"")</f>
        <v/>
      </c>
      <c r="O197" s="41">
        <f>IFERROR(I197/G197,"")</f>
        <v/>
      </c>
      <c r="P197" s="41">
        <f>IFERROR(J197/G197,"")</f>
        <v/>
      </c>
      <c r="Q197" s="42">
        <f>IFERROR(P197/O197,"")</f>
        <v/>
      </c>
      <c r="R197" s="43">
        <f>IFERROR(K197/J197,"")</f>
        <v/>
      </c>
      <c r="S197" s="37">
        <f>IFERROR(M197/H197,"")</f>
        <v/>
      </c>
      <c r="T197" s="27">
        <f>IF(G197="","",IF(G197&gt;='KPI Benchmarks'!$D$14,"Yes","No"))</f>
        <v/>
      </c>
      <c r="U197" s="44">
        <f>IF(G197="","",IF(T197="No","Running",IF(AND(N(O197)&gt;='KPI Benchmarks'!$D$5,N(Q197)&gt;='KPI Benchmarks'!$D$6,OR(N(L197)&gt;0,N(K197)&gt;0)),"WINNER",IF(AND(N(O197)&gt;='KPI Benchmarks'!$D$5,N(Q197)&gt;='KPI Benchmarks'!$D$6),"Watch","Cut"))))</f>
        <v/>
      </c>
      <c r="V197" s="27">
        <f>IF(U197="WINNER",IF(N(L197)&gt;0,"Prospecting (ASC / interests)","Retargeting candidate"),IF(U197="Watch","Retest or retargeting","" ))</f>
        <v/>
      </c>
      <c r="W197" s="13" t="n"/>
    </row>
    <row r="198">
      <c r="A198" s="13" t="n"/>
      <c r="B198" s="13" t="n"/>
      <c r="C198" s="13" t="n"/>
      <c r="D198" s="13" t="n"/>
      <c r="E198" s="13" t="n"/>
      <c r="F198" s="13" t="n"/>
      <c r="G198" s="40" t="n"/>
      <c r="H198" s="35" t="n"/>
      <c r="I198" s="40" t="n"/>
      <c r="J198" s="40" t="n"/>
      <c r="K198" s="40" t="n"/>
      <c r="L198" s="40" t="n"/>
      <c r="M198" s="34" t="n"/>
      <c r="N198" s="36">
        <f>IFERROR(H198/G198*1000,"")</f>
        <v/>
      </c>
      <c r="O198" s="41">
        <f>IFERROR(I198/G198,"")</f>
        <v/>
      </c>
      <c r="P198" s="41">
        <f>IFERROR(J198/G198,"")</f>
        <v/>
      </c>
      <c r="Q198" s="42">
        <f>IFERROR(P198/O198,"")</f>
        <v/>
      </c>
      <c r="R198" s="43">
        <f>IFERROR(K198/J198,"")</f>
        <v/>
      </c>
      <c r="S198" s="37">
        <f>IFERROR(M198/H198,"")</f>
        <v/>
      </c>
      <c r="T198" s="27">
        <f>IF(G198="","",IF(G198&gt;='KPI Benchmarks'!$D$14,"Yes","No"))</f>
        <v/>
      </c>
      <c r="U198" s="44">
        <f>IF(G198="","",IF(T198="No","Running",IF(AND(N(O198)&gt;='KPI Benchmarks'!$D$5,N(Q198)&gt;='KPI Benchmarks'!$D$6,OR(N(L198)&gt;0,N(K198)&gt;0)),"WINNER",IF(AND(N(O198)&gt;='KPI Benchmarks'!$D$5,N(Q198)&gt;='KPI Benchmarks'!$D$6),"Watch","Cut"))))</f>
        <v/>
      </c>
      <c r="V198" s="27">
        <f>IF(U198="WINNER",IF(N(L198)&gt;0,"Prospecting (ASC / interests)","Retargeting candidate"),IF(U198="Watch","Retest or retargeting","" ))</f>
        <v/>
      </c>
      <c r="W198" s="13" t="n"/>
    </row>
    <row r="199">
      <c r="A199" s="13" t="n"/>
      <c r="B199" s="13" t="n"/>
      <c r="C199" s="13" t="n"/>
      <c r="D199" s="13" t="n"/>
      <c r="E199" s="13" t="n"/>
      <c r="F199" s="13" t="n"/>
      <c r="G199" s="40" t="n"/>
      <c r="H199" s="35" t="n"/>
      <c r="I199" s="40" t="n"/>
      <c r="J199" s="40" t="n"/>
      <c r="K199" s="40" t="n"/>
      <c r="L199" s="40" t="n"/>
      <c r="M199" s="34" t="n"/>
      <c r="N199" s="36">
        <f>IFERROR(H199/G199*1000,"")</f>
        <v/>
      </c>
      <c r="O199" s="41">
        <f>IFERROR(I199/G199,"")</f>
        <v/>
      </c>
      <c r="P199" s="41">
        <f>IFERROR(J199/G199,"")</f>
        <v/>
      </c>
      <c r="Q199" s="42">
        <f>IFERROR(P199/O199,"")</f>
        <v/>
      </c>
      <c r="R199" s="43">
        <f>IFERROR(K199/J199,"")</f>
        <v/>
      </c>
      <c r="S199" s="37">
        <f>IFERROR(M199/H199,"")</f>
        <v/>
      </c>
      <c r="T199" s="27">
        <f>IF(G199="","",IF(G199&gt;='KPI Benchmarks'!$D$14,"Yes","No"))</f>
        <v/>
      </c>
      <c r="U199" s="44">
        <f>IF(G199="","",IF(T199="No","Running",IF(AND(N(O199)&gt;='KPI Benchmarks'!$D$5,N(Q199)&gt;='KPI Benchmarks'!$D$6,OR(N(L199)&gt;0,N(K199)&gt;0)),"WINNER",IF(AND(N(O199)&gt;='KPI Benchmarks'!$D$5,N(Q199)&gt;='KPI Benchmarks'!$D$6),"Watch","Cut"))))</f>
        <v/>
      </c>
      <c r="V199" s="27">
        <f>IF(U199="WINNER",IF(N(L199)&gt;0,"Prospecting (ASC / interests)","Retargeting candidate"),IF(U199="Watch","Retest or retargeting","" ))</f>
        <v/>
      </c>
      <c r="W199" s="13" t="n"/>
    </row>
    <row r="200">
      <c r="A200" s="13" t="n"/>
      <c r="B200" s="13" t="n"/>
      <c r="C200" s="13" t="n"/>
      <c r="D200" s="13" t="n"/>
      <c r="E200" s="13" t="n"/>
      <c r="F200" s="13" t="n"/>
      <c r="G200" s="40" t="n"/>
      <c r="H200" s="35" t="n"/>
      <c r="I200" s="40" t="n"/>
      <c r="J200" s="40" t="n"/>
      <c r="K200" s="40" t="n"/>
      <c r="L200" s="40" t="n"/>
      <c r="M200" s="34" t="n"/>
      <c r="N200" s="36">
        <f>IFERROR(H200/G200*1000,"")</f>
        <v/>
      </c>
      <c r="O200" s="41">
        <f>IFERROR(I200/G200,"")</f>
        <v/>
      </c>
      <c r="P200" s="41">
        <f>IFERROR(J200/G200,"")</f>
        <v/>
      </c>
      <c r="Q200" s="42">
        <f>IFERROR(P200/O200,"")</f>
        <v/>
      </c>
      <c r="R200" s="43">
        <f>IFERROR(K200/J200,"")</f>
        <v/>
      </c>
      <c r="S200" s="37">
        <f>IFERROR(M200/H200,"")</f>
        <v/>
      </c>
      <c r="T200" s="27">
        <f>IF(G200="","",IF(G200&gt;='KPI Benchmarks'!$D$14,"Yes","No"))</f>
        <v/>
      </c>
      <c r="U200" s="44">
        <f>IF(G200="","",IF(T200="No","Running",IF(AND(N(O200)&gt;='KPI Benchmarks'!$D$5,N(Q200)&gt;='KPI Benchmarks'!$D$6,OR(N(L200)&gt;0,N(K200)&gt;0)),"WINNER",IF(AND(N(O200)&gt;='KPI Benchmarks'!$D$5,N(Q200)&gt;='KPI Benchmarks'!$D$6),"Watch","Cut"))))</f>
        <v/>
      </c>
      <c r="V200" s="27">
        <f>IF(U200="WINNER",IF(N(L200)&gt;0,"Prospecting (ASC / interests)","Retargeting candidate"),IF(U200="Watch","Retest or retargeting","" ))</f>
        <v/>
      </c>
      <c r="W200" s="13" t="n"/>
    </row>
    <row r="201">
      <c r="A201" s="13" t="n"/>
      <c r="B201" s="13" t="n"/>
      <c r="C201" s="13" t="n"/>
      <c r="D201" s="13" t="n"/>
      <c r="E201" s="13" t="n"/>
      <c r="F201" s="13" t="n"/>
      <c r="G201" s="40" t="n"/>
      <c r="H201" s="35" t="n"/>
      <c r="I201" s="40" t="n"/>
      <c r="J201" s="40" t="n"/>
      <c r="K201" s="40" t="n"/>
      <c r="L201" s="40" t="n"/>
      <c r="M201" s="34" t="n"/>
      <c r="N201" s="36">
        <f>IFERROR(H201/G201*1000,"")</f>
        <v/>
      </c>
      <c r="O201" s="41">
        <f>IFERROR(I201/G201,"")</f>
        <v/>
      </c>
      <c r="P201" s="41">
        <f>IFERROR(J201/G201,"")</f>
        <v/>
      </c>
      <c r="Q201" s="42">
        <f>IFERROR(P201/O201,"")</f>
        <v/>
      </c>
      <c r="R201" s="43">
        <f>IFERROR(K201/J201,"")</f>
        <v/>
      </c>
      <c r="S201" s="37">
        <f>IFERROR(M201/H201,"")</f>
        <v/>
      </c>
      <c r="T201" s="27">
        <f>IF(G201="","",IF(G201&gt;='KPI Benchmarks'!$D$14,"Yes","No"))</f>
        <v/>
      </c>
      <c r="U201" s="44">
        <f>IF(G201="","",IF(T201="No","Running",IF(AND(N(O201)&gt;='KPI Benchmarks'!$D$5,N(Q201)&gt;='KPI Benchmarks'!$D$6,OR(N(L201)&gt;0,N(K201)&gt;0)),"WINNER",IF(AND(N(O201)&gt;='KPI Benchmarks'!$D$5,N(Q201)&gt;='KPI Benchmarks'!$D$6),"Watch","Cut"))))</f>
        <v/>
      </c>
      <c r="V201" s="27">
        <f>IF(U201="WINNER",IF(N(L201)&gt;0,"Prospecting (ASC / interests)","Retargeting candidate"),IF(U201="Watch","Retest or retargeting","" ))</f>
        <v/>
      </c>
      <c r="W201" s="13" t="n"/>
    </row>
    <row r="202">
      <c r="A202" s="13" t="n"/>
      <c r="B202" s="13" t="n"/>
      <c r="C202" s="13" t="n"/>
      <c r="D202" s="13" t="n"/>
      <c r="E202" s="13" t="n"/>
      <c r="F202" s="13" t="n"/>
      <c r="G202" s="40" t="n"/>
      <c r="H202" s="35" t="n"/>
      <c r="I202" s="40" t="n"/>
      <c r="J202" s="40" t="n"/>
      <c r="K202" s="40" t="n"/>
      <c r="L202" s="40" t="n"/>
      <c r="M202" s="34" t="n"/>
      <c r="N202" s="36">
        <f>IFERROR(H202/G202*1000,"")</f>
        <v/>
      </c>
      <c r="O202" s="41">
        <f>IFERROR(I202/G202,"")</f>
        <v/>
      </c>
      <c r="P202" s="41">
        <f>IFERROR(J202/G202,"")</f>
        <v/>
      </c>
      <c r="Q202" s="42">
        <f>IFERROR(P202/O202,"")</f>
        <v/>
      </c>
      <c r="R202" s="43">
        <f>IFERROR(K202/J202,"")</f>
        <v/>
      </c>
      <c r="S202" s="37">
        <f>IFERROR(M202/H202,"")</f>
        <v/>
      </c>
      <c r="T202" s="27">
        <f>IF(G202="","",IF(G202&gt;='KPI Benchmarks'!$D$14,"Yes","No"))</f>
        <v/>
      </c>
      <c r="U202" s="44">
        <f>IF(G202="","",IF(T202="No","Running",IF(AND(N(O202)&gt;='KPI Benchmarks'!$D$5,N(Q202)&gt;='KPI Benchmarks'!$D$6,OR(N(L202)&gt;0,N(K202)&gt;0)),"WINNER",IF(AND(N(O202)&gt;='KPI Benchmarks'!$D$5,N(Q202)&gt;='KPI Benchmarks'!$D$6),"Watch","Cut"))))</f>
        <v/>
      </c>
      <c r="V202" s="27">
        <f>IF(U202="WINNER",IF(N(L202)&gt;0,"Prospecting (ASC / interests)","Retargeting candidate"),IF(U202="Watch","Retest or retargeting","" ))</f>
        <v/>
      </c>
      <c r="W202" s="13" t="n"/>
    </row>
    <row r="203">
      <c r="A203" s="13" t="n"/>
      <c r="B203" s="13" t="n"/>
      <c r="C203" s="13" t="n"/>
      <c r="D203" s="13" t="n"/>
      <c r="E203" s="13" t="n"/>
      <c r="F203" s="13" t="n"/>
      <c r="G203" s="40" t="n"/>
      <c r="H203" s="35" t="n"/>
      <c r="I203" s="40" t="n"/>
      <c r="J203" s="40" t="n"/>
      <c r="K203" s="40" t="n"/>
      <c r="L203" s="40" t="n"/>
      <c r="M203" s="34" t="n"/>
      <c r="N203" s="36">
        <f>IFERROR(H203/G203*1000,"")</f>
        <v/>
      </c>
      <c r="O203" s="41">
        <f>IFERROR(I203/G203,"")</f>
        <v/>
      </c>
      <c r="P203" s="41">
        <f>IFERROR(J203/G203,"")</f>
        <v/>
      </c>
      <c r="Q203" s="42">
        <f>IFERROR(P203/O203,"")</f>
        <v/>
      </c>
      <c r="R203" s="43">
        <f>IFERROR(K203/J203,"")</f>
        <v/>
      </c>
      <c r="S203" s="37">
        <f>IFERROR(M203/H203,"")</f>
        <v/>
      </c>
      <c r="T203" s="27">
        <f>IF(G203="","",IF(G203&gt;='KPI Benchmarks'!$D$14,"Yes","No"))</f>
        <v/>
      </c>
      <c r="U203" s="44">
        <f>IF(G203="","",IF(T203="No","Running",IF(AND(N(O203)&gt;='KPI Benchmarks'!$D$5,N(Q203)&gt;='KPI Benchmarks'!$D$6,OR(N(L203)&gt;0,N(K203)&gt;0)),"WINNER",IF(AND(N(O203)&gt;='KPI Benchmarks'!$D$5,N(Q203)&gt;='KPI Benchmarks'!$D$6),"Watch","Cut"))))</f>
        <v/>
      </c>
      <c r="V203" s="27">
        <f>IF(U203="WINNER",IF(N(L203)&gt;0,"Prospecting (ASC / interests)","Retargeting candidate"),IF(U203="Watch","Retest or retargeting","" ))</f>
        <v/>
      </c>
      <c r="W203" s="13" t="n"/>
    </row>
    <row r="204">
      <c r="A204" s="13" t="n"/>
      <c r="B204" s="13" t="n"/>
      <c r="C204" s="13" t="n"/>
      <c r="D204" s="13" t="n"/>
      <c r="E204" s="13" t="n"/>
      <c r="F204" s="13" t="n"/>
      <c r="G204" s="40" t="n"/>
      <c r="H204" s="35" t="n"/>
      <c r="I204" s="40" t="n"/>
      <c r="J204" s="40" t="n"/>
      <c r="K204" s="40" t="n"/>
      <c r="L204" s="40" t="n"/>
      <c r="M204" s="34" t="n"/>
      <c r="N204" s="36">
        <f>IFERROR(H204/G204*1000,"")</f>
        <v/>
      </c>
      <c r="O204" s="41">
        <f>IFERROR(I204/G204,"")</f>
        <v/>
      </c>
      <c r="P204" s="41">
        <f>IFERROR(J204/G204,"")</f>
        <v/>
      </c>
      <c r="Q204" s="42">
        <f>IFERROR(P204/O204,"")</f>
        <v/>
      </c>
      <c r="R204" s="43">
        <f>IFERROR(K204/J204,"")</f>
        <v/>
      </c>
      <c r="S204" s="37">
        <f>IFERROR(M204/H204,"")</f>
        <v/>
      </c>
      <c r="T204" s="27">
        <f>IF(G204="","",IF(G204&gt;='KPI Benchmarks'!$D$14,"Yes","No"))</f>
        <v/>
      </c>
      <c r="U204" s="44">
        <f>IF(G204="","",IF(T204="No","Running",IF(AND(N(O204)&gt;='KPI Benchmarks'!$D$5,N(Q204)&gt;='KPI Benchmarks'!$D$6,OR(N(L204)&gt;0,N(K204)&gt;0)),"WINNER",IF(AND(N(O204)&gt;='KPI Benchmarks'!$D$5,N(Q204)&gt;='KPI Benchmarks'!$D$6),"Watch","Cut"))))</f>
        <v/>
      </c>
      <c r="V204" s="27">
        <f>IF(U204="WINNER",IF(N(L204)&gt;0,"Prospecting (ASC / interests)","Retargeting candidate"),IF(U204="Watch","Retest or retargeting","" ))</f>
        <v/>
      </c>
      <c r="W204" s="13" t="n"/>
    </row>
    <row r="205">
      <c r="A205" s="13" t="n"/>
      <c r="B205" s="13" t="n"/>
      <c r="C205" s="13" t="n"/>
      <c r="D205" s="13" t="n"/>
      <c r="E205" s="13" t="n"/>
      <c r="F205" s="13" t="n"/>
      <c r="G205" s="40" t="n"/>
      <c r="H205" s="35" t="n"/>
      <c r="I205" s="40" t="n"/>
      <c r="J205" s="40" t="n"/>
      <c r="K205" s="40" t="n"/>
      <c r="L205" s="40" t="n"/>
      <c r="M205" s="34" t="n"/>
      <c r="N205" s="36">
        <f>IFERROR(H205/G205*1000,"")</f>
        <v/>
      </c>
      <c r="O205" s="41">
        <f>IFERROR(I205/G205,"")</f>
        <v/>
      </c>
      <c r="P205" s="41">
        <f>IFERROR(J205/G205,"")</f>
        <v/>
      </c>
      <c r="Q205" s="42">
        <f>IFERROR(P205/O205,"")</f>
        <v/>
      </c>
      <c r="R205" s="43">
        <f>IFERROR(K205/J205,"")</f>
        <v/>
      </c>
      <c r="S205" s="37">
        <f>IFERROR(M205/H205,"")</f>
        <v/>
      </c>
      <c r="T205" s="27">
        <f>IF(G205="","",IF(G205&gt;='KPI Benchmarks'!$D$14,"Yes","No"))</f>
        <v/>
      </c>
      <c r="U205" s="44">
        <f>IF(G205="","",IF(T205="No","Running",IF(AND(N(O205)&gt;='KPI Benchmarks'!$D$5,N(Q205)&gt;='KPI Benchmarks'!$D$6,OR(N(L205)&gt;0,N(K205)&gt;0)),"WINNER",IF(AND(N(O205)&gt;='KPI Benchmarks'!$D$5,N(Q205)&gt;='KPI Benchmarks'!$D$6),"Watch","Cut"))))</f>
        <v/>
      </c>
      <c r="V205" s="27">
        <f>IF(U205="WINNER",IF(N(L205)&gt;0,"Prospecting (ASC / interests)","Retargeting candidate"),IF(U205="Watch","Retest or retargeting","" ))</f>
        <v/>
      </c>
      <c r="W205" s="13" t="n"/>
    </row>
    <row r="206">
      <c r="A206" s="13" t="n"/>
      <c r="B206" s="13" t="n"/>
      <c r="C206" s="13" t="n"/>
      <c r="D206" s="13" t="n"/>
      <c r="E206" s="13" t="n"/>
      <c r="F206" s="13" t="n"/>
      <c r="G206" s="40" t="n"/>
      <c r="H206" s="35" t="n"/>
      <c r="I206" s="40" t="n"/>
      <c r="J206" s="40" t="n"/>
      <c r="K206" s="40" t="n"/>
      <c r="L206" s="40" t="n"/>
      <c r="M206" s="34" t="n"/>
      <c r="N206" s="36">
        <f>IFERROR(H206/G206*1000,"")</f>
        <v/>
      </c>
      <c r="O206" s="41">
        <f>IFERROR(I206/G206,"")</f>
        <v/>
      </c>
      <c r="P206" s="41">
        <f>IFERROR(J206/G206,"")</f>
        <v/>
      </c>
      <c r="Q206" s="42">
        <f>IFERROR(P206/O206,"")</f>
        <v/>
      </c>
      <c r="R206" s="43">
        <f>IFERROR(K206/J206,"")</f>
        <v/>
      </c>
      <c r="S206" s="37">
        <f>IFERROR(M206/H206,"")</f>
        <v/>
      </c>
      <c r="T206" s="27">
        <f>IF(G206="","",IF(G206&gt;='KPI Benchmarks'!$D$14,"Yes","No"))</f>
        <v/>
      </c>
      <c r="U206" s="44">
        <f>IF(G206="","",IF(T206="No","Running",IF(AND(N(O206)&gt;='KPI Benchmarks'!$D$5,N(Q206)&gt;='KPI Benchmarks'!$D$6,OR(N(L206)&gt;0,N(K206)&gt;0)),"WINNER",IF(AND(N(O206)&gt;='KPI Benchmarks'!$D$5,N(Q206)&gt;='KPI Benchmarks'!$D$6),"Watch","Cut"))))</f>
        <v/>
      </c>
      <c r="V206" s="27">
        <f>IF(U206="WINNER",IF(N(L206)&gt;0,"Prospecting (ASC / interests)","Retargeting candidate"),IF(U206="Watch","Retest or retargeting","" ))</f>
        <v/>
      </c>
      <c r="W206" s="13" t="n"/>
    </row>
    <row r="207">
      <c r="A207" s="13" t="n"/>
      <c r="B207" s="13" t="n"/>
      <c r="C207" s="13" t="n"/>
      <c r="D207" s="13" t="n"/>
      <c r="E207" s="13" t="n"/>
      <c r="F207" s="13" t="n"/>
      <c r="G207" s="40" t="n"/>
      <c r="H207" s="35" t="n"/>
      <c r="I207" s="40" t="n"/>
      <c r="J207" s="40" t="n"/>
      <c r="K207" s="40" t="n"/>
      <c r="L207" s="40" t="n"/>
      <c r="M207" s="34" t="n"/>
      <c r="N207" s="36">
        <f>IFERROR(H207/G207*1000,"")</f>
        <v/>
      </c>
      <c r="O207" s="41">
        <f>IFERROR(I207/G207,"")</f>
        <v/>
      </c>
      <c r="P207" s="41">
        <f>IFERROR(J207/G207,"")</f>
        <v/>
      </c>
      <c r="Q207" s="42">
        <f>IFERROR(P207/O207,"")</f>
        <v/>
      </c>
      <c r="R207" s="43">
        <f>IFERROR(K207/J207,"")</f>
        <v/>
      </c>
      <c r="S207" s="37">
        <f>IFERROR(M207/H207,"")</f>
        <v/>
      </c>
      <c r="T207" s="27">
        <f>IF(G207="","",IF(G207&gt;='KPI Benchmarks'!$D$14,"Yes","No"))</f>
        <v/>
      </c>
      <c r="U207" s="44">
        <f>IF(G207="","",IF(T207="No","Running",IF(AND(N(O207)&gt;='KPI Benchmarks'!$D$5,N(Q207)&gt;='KPI Benchmarks'!$D$6,OR(N(L207)&gt;0,N(K207)&gt;0)),"WINNER",IF(AND(N(O207)&gt;='KPI Benchmarks'!$D$5,N(Q207)&gt;='KPI Benchmarks'!$D$6),"Watch","Cut"))))</f>
        <v/>
      </c>
      <c r="V207" s="27">
        <f>IF(U207="WINNER",IF(N(L207)&gt;0,"Prospecting (ASC / interests)","Retargeting candidate"),IF(U207="Watch","Retest or retargeting","" ))</f>
        <v/>
      </c>
      <c r="W207" s="13" t="n"/>
    </row>
    <row r="208">
      <c r="A208" s="13" t="n"/>
      <c r="B208" s="13" t="n"/>
      <c r="C208" s="13" t="n"/>
      <c r="D208" s="13" t="n"/>
      <c r="E208" s="13" t="n"/>
      <c r="F208" s="13" t="n"/>
      <c r="G208" s="40" t="n"/>
      <c r="H208" s="35" t="n"/>
      <c r="I208" s="40" t="n"/>
      <c r="J208" s="40" t="n"/>
      <c r="K208" s="40" t="n"/>
      <c r="L208" s="40" t="n"/>
      <c r="M208" s="34" t="n"/>
      <c r="N208" s="36">
        <f>IFERROR(H208/G208*1000,"")</f>
        <v/>
      </c>
      <c r="O208" s="41">
        <f>IFERROR(I208/G208,"")</f>
        <v/>
      </c>
      <c r="P208" s="41">
        <f>IFERROR(J208/G208,"")</f>
        <v/>
      </c>
      <c r="Q208" s="42">
        <f>IFERROR(P208/O208,"")</f>
        <v/>
      </c>
      <c r="R208" s="43">
        <f>IFERROR(K208/J208,"")</f>
        <v/>
      </c>
      <c r="S208" s="37">
        <f>IFERROR(M208/H208,"")</f>
        <v/>
      </c>
      <c r="T208" s="27">
        <f>IF(G208="","",IF(G208&gt;='KPI Benchmarks'!$D$14,"Yes","No"))</f>
        <v/>
      </c>
      <c r="U208" s="44">
        <f>IF(G208="","",IF(T208="No","Running",IF(AND(N(O208)&gt;='KPI Benchmarks'!$D$5,N(Q208)&gt;='KPI Benchmarks'!$D$6,OR(N(L208)&gt;0,N(K208)&gt;0)),"WINNER",IF(AND(N(O208)&gt;='KPI Benchmarks'!$D$5,N(Q208)&gt;='KPI Benchmarks'!$D$6),"Watch","Cut"))))</f>
        <v/>
      </c>
      <c r="V208" s="27">
        <f>IF(U208="WINNER",IF(N(L208)&gt;0,"Prospecting (ASC / interests)","Retargeting candidate"),IF(U208="Watch","Retest or retargeting","" ))</f>
        <v/>
      </c>
      <c r="W208" s="13" t="n"/>
    </row>
    <row r="209">
      <c r="A209" s="13" t="n"/>
      <c r="B209" s="13" t="n"/>
      <c r="C209" s="13" t="n"/>
      <c r="D209" s="13" t="n"/>
      <c r="E209" s="13" t="n"/>
      <c r="F209" s="13" t="n"/>
      <c r="G209" s="40" t="n"/>
      <c r="H209" s="35" t="n"/>
      <c r="I209" s="40" t="n"/>
      <c r="J209" s="40" t="n"/>
      <c r="K209" s="40" t="n"/>
      <c r="L209" s="40" t="n"/>
      <c r="M209" s="34" t="n"/>
      <c r="N209" s="36">
        <f>IFERROR(H209/G209*1000,"")</f>
        <v/>
      </c>
      <c r="O209" s="41">
        <f>IFERROR(I209/G209,"")</f>
        <v/>
      </c>
      <c r="P209" s="41">
        <f>IFERROR(J209/G209,"")</f>
        <v/>
      </c>
      <c r="Q209" s="42">
        <f>IFERROR(P209/O209,"")</f>
        <v/>
      </c>
      <c r="R209" s="43">
        <f>IFERROR(K209/J209,"")</f>
        <v/>
      </c>
      <c r="S209" s="37">
        <f>IFERROR(M209/H209,"")</f>
        <v/>
      </c>
      <c r="T209" s="27">
        <f>IF(G209="","",IF(G209&gt;='KPI Benchmarks'!$D$14,"Yes","No"))</f>
        <v/>
      </c>
      <c r="U209" s="44">
        <f>IF(G209="","",IF(T209="No","Running",IF(AND(N(O209)&gt;='KPI Benchmarks'!$D$5,N(Q209)&gt;='KPI Benchmarks'!$D$6,OR(N(L209)&gt;0,N(K209)&gt;0)),"WINNER",IF(AND(N(O209)&gt;='KPI Benchmarks'!$D$5,N(Q209)&gt;='KPI Benchmarks'!$D$6),"Watch","Cut"))))</f>
        <v/>
      </c>
      <c r="V209" s="27">
        <f>IF(U209="WINNER",IF(N(L209)&gt;0,"Prospecting (ASC / interests)","Retargeting candidate"),IF(U209="Watch","Retest or retargeting","" ))</f>
        <v/>
      </c>
      <c r="W209" s="13" t="n"/>
    </row>
    <row r="210">
      <c r="A210" s="13" t="n"/>
      <c r="B210" s="13" t="n"/>
      <c r="C210" s="13" t="n"/>
      <c r="D210" s="13" t="n"/>
      <c r="E210" s="13" t="n"/>
      <c r="F210" s="13" t="n"/>
      <c r="G210" s="40" t="n"/>
      <c r="H210" s="35" t="n"/>
      <c r="I210" s="40" t="n"/>
      <c r="J210" s="40" t="n"/>
      <c r="K210" s="40" t="n"/>
      <c r="L210" s="40" t="n"/>
      <c r="M210" s="34" t="n"/>
      <c r="N210" s="36">
        <f>IFERROR(H210/G210*1000,"")</f>
        <v/>
      </c>
      <c r="O210" s="41">
        <f>IFERROR(I210/G210,"")</f>
        <v/>
      </c>
      <c r="P210" s="41">
        <f>IFERROR(J210/G210,"")</f>
        <v/>
      </c>
      <c r="Q210" s="42">
        <f>IFERROR(P210/O210,"")</f>
        <v/>
      </c>
      <c r="R210" s="43">
        <f>IFERROR(K210/J210,"")</f>
        <v/>
      </c>
      <c r="S210" s="37">
        <f>IFERROR(M210/H210,"")</f>
        <v/>
      </c>
      <c r="T210" s="27">
        <f>IF(G210="","",IF(G210&gt;='KPI Benchmarks'!$D$14,"Yes","No"))</f>
        <v/>
      </c>
      <c r="U210" s="44">
        <f>IF(G210="","",IF(T210="No","Running",IF(AND(N(O210)&gt;='KPI Benchmarks'!$D$5,N(Q210)&gt;='KPI Benchmarks'!$D$6,OR(N(L210)&gt;0,N(K210)&gt;0)),"WINNER",IF(AND(N(O210)&gt;='KPI Benchmarks'!$D$5,N(Q210)&gt;='KPI Benchmarks'!$D$6),"Watch","Cut"))))</f>
        <v/>
      </c>
      <c r="V210" s="27">
        <f>IF(U210="WINNER",IF(N(L210)&gt;0,"Prospecting (ASC / interests)","Retargeting candidate"),IF(U210="Watch","Retest or retargeting","" ))</f>
        <v/>
      </c>
      <c r="W210" s="13" t="n"/>
    </row>
    <row r="211">
      <c r="A211" s="13" t="n"/>
      <c r="B211" s="13" t="n"/>
      <c r="C211" s="13" t="n"/>
      <c r="D211" s="13" t="n"/>
      <c r="E211" s="13" t="n"/>
      <c r="F211" s="13" t="n"/>
      <c r="G211" s="40" t="n"/>
      <c r="H211" s="35" t="n"/>
      <c r="I211" s="40" t="n"/>
      <c r="J211" s="40" t="n"/>
      <c r="K211" s="40" t="n"/>
      <c r="L211" s="40" t="n"/>
      <c r="M211" s="34" t="n"/>
      <c r="N211" s="36">
        <f>IFERROR(H211/G211*1000,"")</f>
        <v/>
      </c>
      <c r="O211" s="41">
        <f>IFERROR(I211/G211,"")</f>
        <v/>
      </c>
      <c r="P211" s="41">
        <f>IFERROR(J211/G211,"")</f>
        <v/>
      </c>
      <c r="Q211" s="42">
        <f>IFERROR(P211/O211,"")</f>
        <v/>
      </c>
      <c r="R211" s="43">
        <f>IFERROR(K211/J211,"")</f>
        <v/>
      </c>
      <c r="S211" s="37">
        <f>IFERROR(M211/H211,"")</f>
        <v/>
      </c>
      <c r="T211" s="27">
        <f>IF(G211="","",IF(G211&gt;='KPI Benchmarks'!$D$14,"Yes","No"))</f>
        <v/>
      </c>
      <c r="U211" s="44">
        <f>IF(G211="","",IF(T211="No","Running",IF(AND(N(O211)&gt;='KPI Benchmarks'!$D$5,N(Q211)&gt;='KPI Benchmarks'!$D$6,OR(N(L211)&gt;0,N(K211)&gt;0)),"WINNER",IF(AND(N(O211)&gt;='KPI Benchmarks'!$D$5,N(Q211)&gt;='KPI Benchmarks'!$D$6),"Watch","Cut"))))</f>
        <v/>
      </c>
      <c r="V211" s="27">
        <f>IF(U211="WINNER",IF(N(L211)&gt;0,"Prospecting (ASC / interests)","Retargeting candidate"),IF(U211="Watch","Retest or retargeting","" ))</f>
        <v/>
      </c>
      <c r="W211" s="13" t="n"/>
    </row>
    <row r="212">
      <c r="A212" s="13" t="n"/>
      <c r="B212" s="13" t="n"/>
      <c r="C212" s="13" t="n"/>
      <c r="D212" s="13" t="n"/>
      <c r="E212" s="13" t="n"/>
      <c r="F212" s="13" t="n"/>
      <c r="G212" s="40" t="n"/>
      <c r="H212" s="35" t="n"/>
      <c r="I212" s="40" t="n"/>
      <c r="J212" s="40" t="n"/>
      <c r="K212" s="40" t="n"/>
      <c r="L212" s="40" t="n"/>
      <c r="M212" s="34" t="n"/>
      <c r="N212" s="36">
        <f>IFERROR(H212/G212*1000,"")</f>
        <v/>
      </c>
      <c r="O212" s="41">
        <f>IFERROR(I212/G212,"")</f>
        <v/>
      </c>
      <c r="P212" s="41">
        <f>IFERROR(J212/G212,"")</f>
        <v/>
      </c>
      <c r="Q212" s="42">
        <f>IFERROR(P212/O212,"")</f>
        <v/>
      </c>
      <c r="R212" s="43">
        <f>IFERROR(K212/J212,"")</f>
        <v/>
      </c>
      <c r="S212" s="37">
        <f>IFERROR(M212/H212,"")</f>
        <v/>
      </c>
      <c r="T212" s="27">
        <f>IF(G212="","",IF(G212&gt;='KPI Benchmarks'!$D$14,"Yes","No"))</f>
        <v/>
      </c>
      <c r="U212" s="44">
        <f>IF(G212="","",IF(T212="No","Running",IF(AND(N(O212)&gt;='KPI Benchmarks'!$D$5,N(Q212)&gt;='KPI Benchmarks'!$D$6,OR(N(L212)&gt;0,N(K212)&gt;0)),"WINNER",IF(AND(N(O212)&gt;='KPI Benchmarks'!$D$5,N(Q212)&gt;='KPI Benchmarks'!$D$6),"Watch","Cut"))))</f>
        <v/>
      </c>
      <c r="V212" s="27">
        <f>IF(U212="WINNER",IF(N(L212)&gt;0,"Prospecting (ASC / interests)","Retargeting candidate"),IF(U212="Watch","Retest or retargeting","" ))</f>
        <v/>
      </c>
      <c r="W212" s="13" t="n"/>
    </row>
    <row r="213">
      <c r="A213" s="13" t="n"/>
      <c r="B213" s="13" t="n"/>
      <c r="C213" s="13" t="n"/>
      <c r="D213" s="13" t="n"/>
      <c r="E213" s="13" t="n"/>
      <c r="F213" s="13" t="n"/>
      <c r="G213" s="40" t="n"/>
      <c r="H213" s="35" t="n"/>
      <c r="I213" s="40" t="n"/>
      <c r="J213" s="40" t="n"/>
      <c r="K213" s="40" t="n"/>
      <c r="L213" s="40" t="n"/>
      <c r="M213" s="34" t="n"/>
      <c r="N213" s="36">
        <f>IFERROR(H213/G213*1000,"")</f>
        <v/>
      </c>
      <c r="O213" s="41">
        <f>IFERROR(I213/G213,"")</f>
        <v/>
      </c>
      <c r="P213" s="41">
        <f>IFERROR(J213/G213,"")</f>
        <v/>
      </c>
      <c r="Q213" s="42">
        <f>IFERROR(P213/O213,"")</f>
        <v/>
      </c>
      <c r="R213" s="43">
        <f>IFERROR(K213/J213,"")</f>
        <v/>
      </c>
      <c r="S213" s="37">
        <f>IFERROR(M213/H213,"")</f>
        <v/>
      </c>
      <c r="T213" s="27">
        <f>IF(G213="","",IF(G213&gt;='KPI Benchmarks'!$D$14,"Yes","No"))</f>
        <v/>
      </c>
      <c r="U213" s="44">
        <f>IF(G213="","",IF(T213="No","Running",IF(AND(N(O213)&gt;='KPI Benchmarks'!$D$5,N(Q213)&gt;='KPI Benchmarks'!$D$6,OR(N(L213)&gt;0,N(K213)&gt;0)),"WINNER",IF(AND(N(O213)&gt;='KPI Benchmarks'!$D$5,N(Q213)&gt;='KPI Benchmarks'!$D$6),"Watch","Cut"))))</f>
        <v/>
      </c>
      <c r="V213" s="27">
        <f>IF(U213="WINNER",IF(N(L213)&gt;0,"Prospecting (ASC / interests)","Retargeting candidate"),IF(U213="Watch","Retest or retargeting","" ))</f>
        <v/>
      </c>
      <c r="W213" s="13" t="n"/>
    </row>
    <row r="214">
      <c r="A214" s="13" t="n"/>
      <c r="B214" s="13" t="n"/>
      <c r="C214" s="13" t="n"/>
      <c r="D214" s="13" t="n"/>
      <c r="E214" s="13" t="n"/>
      <c r="F214" s="13" t="n"/>
      <c r="G214" s="40" t="n"/>
      <c r="H214" s="35" t="n"/>
      <c r="I214" s="40" t="n"/>
      <c r="J214" s="40" t="n"/>
      <c r="K214" s="40" t="n"/>
      <c r="L214" s="40" t="n"/>
      <c r="M214" s="34" t="n"/>
      <c r="N214" s="36">
        <f>IFERROR(H214/G214*1000,"")</f>
        <v/>
      </c>
      <c r="O214" s="41">
        <f>IFERROR(I214/G214,"")</f>
        <v/>
      </c>
      <c r="P214" s="41">
        <f>IFERROR(J214/G214,"")</f>
        <v/>
      </c>
      <c r="Q214" s="42">
        <f>IFERROR(P214/O214,"")</f>
        <v/>
      </c>
      <c r="R214" s="43">
        <f>IFERROR(K214/J214,"")</f>
        <v/>
      </c>
      <c r="S214" s="37">
        <f>IFERROR(M214/H214,"")</f>
        <v/>
      </c>
      <c r="T214" s="27">
        <f>IF(G214="","",IF(G214&gt;='KPI Benchmarks'!$D$14,"Yes","No"))</f>
        <v/>
      </c>
      <c r="U214" s="44">
        <f>IF(G214="","",IF(T214="No","Running",IF(AND(N(O214)&gt;='KPI Benchmarks'!$D$5,N(Q214)&gt;='KPI Benchmarks'!$D$6,OR(N(L214)&gt;0,N(K214)&gt;0)),"WINNER",IF(AND(N(O214)&gt;='KPI Benchmarks'!$D$5,N(Q214)&gt;='KPI Benchmarks'!$D$6),"Watch","Cut"))))</f>
        <v/>
      </c>
      <c r="V214" s="27">
        <f>IF(U214="WINNER",IF(N(L214)&gt;0,"Prospecting (ASC / interests)","Retargeting candidate"),IF(U214="Watch","Retest or retargeting","" ))</f>
        <v/>
      </c>
      <c r="W214" s="13" t="n"/>
    </row>
    <row r="215">
      <c r="A215" s="13" t="n"/>
      <c r="B215" s="13" t="n"/>
      <c r="C215" s="13" t="n"/>
      <c r="D215" s="13" t="n"/>
      <c r="E215" s="13" t="n"/>
      <c r="F215" s="13" t="n"/>
      <c r="G215" s="40" t="n"/>
      <c r="H215" s="35" t="n"/>
      <c r="I215" s="40" t="n"/>
      <c r="J215" s="40" t="n"/>
      <c r="K215" s="40" t="n"/>
      <c r="L215" s="40" t="n"/>
      <c r="M215" s="34" t="n"/>
      <c r="N215" s="36">
        <f>IFERROR(H215/G215*1000,"")</f>
        <v/>
      </c>
      <c r="O215" s="41">
        <f>IFERROR(I215/G215,"")</f>
        <v/>
      </c>
      <c r="P215" s="41">
        <f>IFERROR(J215/G215,"")</f>
        <v/>
      </c>
      <c r="Q215" s="42">
        <f>IFERROR(P215/O215,"")</f>
        <v/>
      </c>
      <c r="R215" s="43">
        <f>IFERROR(K215/J215,"")</f>
        <v/>
      </c>
      <c r="S215" s="37">
        <f>IFERROR(M215/H215,"")</f>
        <v/>
      </c>
      <c r="T215" s="27">
        <f>IF(G215="","",IF(G215&gt;='KPI Benchmarks'!$D$14,"Yes","No"))</f>
        <v/>
      </c>
      <c r="U215" s="44">
        <f>IF(G215="","",IF(T215="No","Running",IF(AND(N(O215)&gt;='KPI Benchmarks'!$D$5,N(Q215)&gt;='KPI Benchmarks'!$D$6,OR(N(L215)&gt;0,N(K215)&gt;0)),"WINNER",IF(AND(N(O215)&gt;='KPI Benchmarks'!$D$5,N(Q215)&gt;='KPI Benchmarks'!$D$6),"Watch","Cut"))))</f>
        <v/>
      </c>
      <c r="V215" s="27">
        <f>IF(U215="WINNER",IF(N(L215)&gt;0,"Prospecting (ASC / interests)","Retargeting candidate"),IF(U215="Watch","Retest or retargeting","" ))</f>
        <v/>
      </c>
      <c r="W215" s="13" t="n"/>
    </row>
    <row r="216">
      <c r="A216" s="13" t="n"/>
      <c r="B216" s="13" t="n"/>
      <c r="C216" s="13" t="n"/>
      <c r="D216" s="13" t="n"/>
      <c r="E216" s="13" t="n"/>
      <c r="F216" s="13" t="n"/>
      <c r="G216" s="40" t="n"/>
      <c r="H216" s="35" t="n"/>
      <c r="I216" s="40" t="n"/>
      <c r="J216" s="40" t="n"/>
      <c r="K216" s="40" t="n"/>
      <c r="L216" s="40" t="n"/>
      <c r="M216" s="34" t="n"/>
      <c r="N216" s="36">
        <f>IFERROR(H216/G216*1000,"")</f>
        <v/>
      </c>
      <c r="O216" s="41">
        <f>IFERROR(I216/G216,"")</f>
        <v/>
      </c>
      <c r="P216" s="41">
        <f>IFERROR(J216/G216,"")</f>
        <v/>
      </c>
      <c r="Q216" s="42">
        <f>IFERROR(P216/O216,"")</f>
        <v/>
      </c>
      <c r="R216" s="43">
        <f>IFERROR(K216/J216,"")</f>
        <v/>
      </c>
      <c r="S216" s="37">
        <f>IFERROR(M216/H216,"")</f>
        <v/>
      </c>
      <c r="T216" s="27">
        <f>IF(G216="","",IF(G216&gt;='KPI Benchmarks'!$D$14,"Yes","No"))</f>
        <v/>
      </c>
      <c r="U216" s="44">
        <f>IF(G216="","",IF(T216="No","Running",IF(AND(N(O216)&gt;='KPI Benchmarks'!$D$5,N(Q216)&gt;='KPI Benchmarks'!$D$6,OR(N(L216)&gt;0,N(K216)&gt;0)),"WINNER",IF(AND(N(O216)&gt;='KPI Benchmarks'!$D$5,N(Q216)&gt;='KPI Benchmarks'!$D$6),"Watch","Cut"))))</f>
        <v/>
      </c>
      <c r="V216" s="27">
        <f>IF(U216="WINNER",IF(N(L216)&gt;0,"Prospecting (ASC / interests)","Retargeting candidate"),IF(U216="Watch","Retest or retargeting","" ))</f>
        <v/>
      </c>
      <c r="W216" s="13" t="n"/>
    </row>
    <row r="217">
      <c r="A217" s="13" t="n"/>
      <c r="B217" s="13" t="n"/>
      <c r="C217" s="13" t="n"/>
      <c r="D217" s="13" t="n"/>
      <c r="E217" s="13" t="n"/>
      <c r="F217" s="13" t="n"/>
      <c r="G217" s="40" t="n"/>
      <c r="H217" s="35" t="n"/>
      <c r="I217" s="40" t="n"/>
      <c r="J217" s="40" t="n"/>
      <c r="K217" s="40" t="n"/>
      <c r="L217" s="40" t="n"/>
      <c r="M217" s="34" t="n"/>
      <c r="N217" s="36">
        <f>IFERROR(H217/G217*1000,"")</f>
        <v/>
      </c>
      <c r="O217" s="41">
        <f>IFERROR(I217/G217,"")</f>
        <v/>
      </c>
      <c r="P217" s="41">
        <f>IFERROR(J217/G217,"")</f>
        <v/>
      </c>
      <c r="Q217" s="42">
        <f>IFERROR(P217/O217,"")</f>
        <v/>
      </c>
      <c r="R217" s="43">
        <f>IFERROR(K217/J217,"")</f>
        <v/>
      </c>
      <c r="S217" s="37">
        <f>IFERROR(M217/H217,"")</f>
        <v/>
      </c>
      <c r="T217" s="27">
        <f>IF(G217="","",IF(G217&gt;='KPI Benchmarks'!$D$14,"Yes","No"))</f>
        <v/>
      </c>
      <c r="U217" s="44">
        <f>IF(G217="","",IF(T217="No","Running",IF(AND(N(O217)&gt;='KPI Benchmarks'!$D$5,N(Q217)&gt;='KPI Benchmarks'!$D$6,OR(N(L217)&gt;0,N(K217)&gt;0)),"WINNER",IF(AND(N(O217)&gt;='KPI Benchmarks'!$D$5,N(Q217)&gt;='KPI Benchmarks'!$D$6),"Watch","Cut"))))</f>
        <v/>
      </c>
      <c r="V217" s="27">
        <f>IF(U217="WINNER",IF(N(L217)&gt;0,"Prospecting (ASC / interests)","Retargeting candidate"),IF(U217="Watch","Retest or retargeting","" ))</f>
        <v/>
      </c>
      <c r="W217" s="13" t="n"/>
    </row>
    <row r="218">
      <c r="A218" s="13" t="n"/>
      <c r="B218" s="13" t="n"/>
      <c r="C218" s="13" t="n"/>
      <c r="D218" s="13" t="n"/>
      <c r="E218" s="13" t="n"/>
      <c r="F218" s="13" t="n"/>
      <c r="G218" s="40" t="n"/>
      <c r="H218" s="35" t="n"/>
      <c r="I218" s="40" t="n"/>
      <c r="J218" s="40" t="n"/>
      <c r="K218" s="40" t="n"/>
      <c r="L218" s="40" t="n"/>
      <c r="M218" s="34" t="n"/>
      <c r="N218" s="36">
        <f>IFERROR(H218/G218*1000,"")</f>
        <v/>
      </c>
      <c r="O218" s="41">
        <f>IFERROR(I218/G218,"")</f>
        <v/>
      </c>
      <c r="P218" s="41">
        <f>IFERROR(J218/G218,"")</f>
        <v/>
      </c>
      <c r="Q218" s="42">
        <f>IFERROR(P218/O218,"")</f>
        <v/>
      </c>
      <c r="R218" s="43">
        <f>IFERROR(K218/J218,"")</f>
        <v/>
      </c>
      <c r="S218" s="37">
        <f>IFERROR(M218/H218,"")</f>
        <v/>
      </c>
      <c r="T218" s="27">
        <f>IF(G218="","",IF(G218&gt;='KPI Benchmarks'!$D$14,"Yes","No"))</f>
        <v/>
      </c>
      <c r="U218" s="44">
        <f>IF(G218="","",IF(T218="No","Running",IF(AND(N(O218)&gt;='KPI Benchmarks'!$D$5,N(Q218)&gt;='KPI Benchmarks'!$D$6,OR(N(L218)&gt;0,N(K218)&gt;0)),"WINNER",IF(AND(N(O218)&gt;='KPI Benchmarks'!$D$5,N(Q218)&gt;='KPI Benchmarks'!$D$6),"Watch","Cut"))))</f>
        <v/>
      </c>
      <c r="V218" s="27">
        <f>IF(U218="WINNER",IF(N(L218)&gt;0,"Prospecting (ASC / interests)","Retargeting candidate"),IF(U218="Watch","Retest or retargeting","" ))</f>
        <v/>
      </c>
      <c r="W218" s="13" t="n"/>
    </row>
    <row r="219">
      <c r="A219" s="13" t="n"/>
      <c r="B219" s="13" t="n"/>
      <c r="C219" s="13" t="n"/>
      <c r="D219" s="13" t="n"/>
      <c r="E219" s="13" t="n"/>
      <c r="F219" s="13" t="n"/>
      <c r="G219" s="40" t="n"/>
      <c r="H219" s="35" t="n"/>
      <c r="I219" s="40" t="n"/>
      <c r="J219" s="40" t="n"/>
      <c r="K219" s="40" t="n"/>
      <c r="L219" s="40" t="n"/>
      <c r="M219" s="34" t="n"/>
      <c r="N219" s="36">
        <f>IFERROR(H219/G219*1000,"")</f>
        <v/>
      </c>
      <c r="O219" s="41">
        <f>IFERROR(I219/G219,"")</f>
        <v/>
      </c>
      <c r="P219" s="41">
        <f>IFERROR(J219/G219,"")</f>
        <v/>
      </c>
      <c r="Q219" s="42">
        <f>IFERROR(P219/O219,"")</f>
        <v/>
      </c>
      <c r="R219" s="43">
        <f>IFERROR(K219/J219,"")</f>
        <v/>
      </c>
      <c r="S219" s="37">
        <f>IFERROR(M219/H219,"")</f>
        <v/>
      </c>
      <c r="T219" s="27">
        <f>IF(G219="","",IF(G219&gt;='KPI Benchmarks'!$D$14,"Yes","No"))</f>
        <v/>
      </c>
      <c r="U219" s="44">
        <f>IF(G219="","",IF(T219="No","Running",IF(AND(N(O219)&gt;='KPI Benchmarks'!$D$5,N(Q219)&gt;='KPI Benchmarks'!$D$6,OR(N(L219)&gt;0,N(K219)&gt;0)),"WINNER",IF(AND(N(O219)&gt;='KPI Benchmarks'!$D$5,N(Q219)&gt;='KPI Benchmarks'!$D$6),"Watch","Cut"))))</f>
        <v/>
      </c>
      <c r="V219" s="27">
        <f>IF(U219="WINNER",IF(N(L219)&gt;0,"Prospecting (ASC / interests)","Retargeting candidate"),IF(U219="Watch","Retest or retargeting","" ))</f>
        <v/>
      </c>
      <c r="W219" s="13" t="n"/>
    </row>
    <row r="220">
      <c r="A220" s="13" t="n"/>
      <c r="B220" s="13" t="n"/>
      <c r="C220" s="13" t="n"/>
      <c r="D220" s="13" t="n"/>
      <c r="E220" s="13" t="n"/>
      <c r="F220" s="13" t="n"/>
      <c r="G220" s="40" t="n"/>
      <c r="H220" s="35" t="n"/>
      <c r="I220" s="40" t="n"/>
      <c r="J220" s="40" t="n"/>
      <c r="K220" s="40" t="n"/>
      <c r="L220" s="40" t="n"/>
      <c r="M220" s="34" t="n"/>
      <c r="N220" s="36">
        <f>IFERROR(H220/G220*1000,"")</f>
        <v/>
      </c>
      <c r="O220" s="41">
        <f>IFERROR(I220/G220,"")</f>
        <v/>
      </c>
      <c r="P220" s="41">
        <f>IFERROR(J220/G220,"")</f>
        <v/>
      </c>
      <c r="Q220" s="42">
        <f>IFERROR(P220/O220,"")</f>
        <v/>
      </c>
      <c r="R220" s="43">
        <f>IFERROR(K220/J220,"")</f>
        <v/>
      </c>
      <c r="S220" s="37">
        <f>IFERROR(M220/H220,"")</f>
        <v/>
      </c>
      <c r="T220" s="27">
        <f>IF(G220="","",IF(G220&gt;='KPI Benchmarks'!$D$14,"Yes","No"))</f>
        <v/>
      </c>
      <c r="U220" s="44">
        <f>IF(G220="","",IF(T220="No","Running",IF(AND(N(O220)&gt;='KPI Benchmarks'!$D$5,N(Q220)&gt;='KPI Benchmarks'!$D$6,OR(N(L220)&gt;0,N(K220)&gt;0)),"WINNER",IF(AND(N(O220)&gt;='KPI Benchmarks'!$D$5,N(Q220)&gt;='KPI Benchmarks'!$D$6),"Watch","Cut"))))</f>
        <v/>
      </c>
      <c r="V220" s="27">
        <f>IF(U220="WINNER",IF(N(L220)&gt;0,"Prospecting (ASC / interests)","Retargeting candidate"),IF(U220="Watch","Retest or retargeting","" ))</f>
        <v/>
      </c>
      <c r="W220" s="13" t="n"/>
    </row>
    <row r="221">
      <c r="A221" s="13" t="n"/>
      <c r="B221" s="13" t="n"/>
      <c r="C221" s="13" t="n"/>
      <c r="D221" s="13" t="n"/>
      <c r="E221" s="13" t="n"/>
      <c r="F221" s="13" t="n"/>
      <c r="G221" s="40" t="n"/>
      <c r="H221" s="35" t="n"/>
      <c r="I221" s="40" t="n"/>
      <c r="J221" s="40" t="n"/>
      <c r="K221" s="40" t="n"/>
      <c r="L221" s="40" t="n"/>
      <c r="M221" s="34" t="n"/>
      <c r="N221" s="36">
        <f>IFERROR(H221/G221*1000,"")</f>
        <v/>
      </c>
      <c r="O221" s="41">
        <f>IFERROR(I221/G221,"")</f>
        <v/>
      </c>
      <c r="P221" s="41">
        <f>IFERROR(J221/G221,"")</f>
        <v/>
      </c>
      <c r="Q221" s="42">
        <f>IFERROR(P221/O221,"")</f>
        <v/>
      </c>
      <c r="R221" s="43">
        <f>IFERROR(K221/J221,"")</f>
        <v/>
      </c>
      <c r="S221" s="37">
        <f>IFERROR(M221/H221,"")</f>
        <v/>
      </c>
      <c r="T221" s="27">
        <f>IF(G221="","",IF(G221&gt;='KPI Benchmarks'!$D$14,"Yes","No"))</f>
        <v/>
      </c>
      <c r="U221" s="44">
        <f>IF(G221="","",IF(T221="No","Running",IF(AND(N(O221)&gt;='KPI Benchmarks'!$D$5,N(Q221)&gt;='KPI Benchmarks'!$D$6,OR(N(L221)&gt;0,N(K221)&gt;0)),"WINNER",IF(AND(N(O221)&gt;='KPI Benchmarks'!$D$5,N(Q221)&gt;='KPI Benchmarks'!$D$6),"Watch","Cut"))))</f>
        <v/>
      </c>
      <c r="V221" s="27">
        <f>IF(U221="WINNER",IF(N(L221)&gt;0,"Prospecting (ASC / interests)","Retargeting candidate"),IF(U221="Watch","Retest or retargeting","" ))</f>
        <v/>
      </c>
      <c r="W221" s="13" t="n"/>
    </row>
    <row r="222">
      <c r="A222" s="13" t="n"/>
      <c r="B222" s="13" t="n"/>
      <c r="C222" s="13" t="n"/>
      <c r="D222" s="13" t="n"/>
      <c r="E222" s="13" t="n"/>
      <c r="F222" s="13" t="n"/>
      <c r="G222" s="40" t="n"/>
      <c r="H222" s="35" t="n"/>
      <c r="I222" s="40" t="n"/>
      <c r="J222" s="40" t="n"/>
      <c r="K222" s="40" t="n"/>
      <c r="L222" s="40" t="n"/>
      <c r="M222" s="34" t="n"/>
      <c r="N222" s="36">
        <f>IFERROR(H222/G222*1000,"")</f>
        <v/>
      </c>
      <c r="O222" s="41">
        <f>IFERROR(I222/G222,"")</f>
        <v/>
      </c>
      <c r="P222" s="41">
        <f>IFERROR(J222/G222,"")</f>
        <v/>
      </c>
      <c r="Q222" s="42">
        <f>IFERROR(P222/O222,"")</f>
        <v/>
      </c>
      <c r="R222" s="43">
        <f>IFERROR(K222/J222,"")</f>
        <v/>
      </c>
      <c r="S222" s="37">
        <f>IFERROR(M222/H222,"")</f>
        <v/>
      </c>
      <c r="T222" s="27">
        <f>IF(G222="","",IF(G222&gt;='KPI Benchmarks'!$D$14,"Yes","No"))</f>
        <v/>
      </c>
      <c r="U222" s="44">
        <f>IF(G222="","",IF(T222="No","Running",IF(AND(N(O222)&gt;='KPI Benchmarks'!$D$5,N(Q222)&gt;='KPI Benchmarks'!$D$6,OR(N(L222)&gt;0,N(K222)&gt;0)),"WINNER",IF(AND(N(O222)&gt;='KPI Benchmarks'!$D$5,N(Q222)&gt;='KPI Benchmarks'!$D$6),"Watch","Cut"))))</f>
        <v/>
      </c>
      <c r="V222" s="27">
        <f>IF(U222="WINNER",IF(N(L222)&gt;0,"Prospecting (ASC / interests)","Retargeting candidate"),IF(U222="Watch","Retest or retargeting","" ))</f>
        <v/>
      </c>
      <c r="W222" s="13" t="n"/>
    </row>
    <row r="223">
      <c r="A223" s="13" t="n"/>
      <c r="B223" s="13" t="n"/>
      <c r="C223" s="13" t="n"/>
      <c r="D223" s="13" t="n"/>
      <c r="E223" s="13" t="n"/>
      <c r="F223" s="13" t="n"/>
      <c r="G223" s="40" t="n"/>
      <c r="H223" s="35" t="n"/>
      <c r="I223" s="40" t="n"/>
      <c r="J223" s="40" t="n"/>
      <c r="K223" s="40" t="n"/>
      <c r="L223" s="40" t="n"/>
      <c r="M223" s="34" t="n"/>
      <c r="N223" s="36">
        <f>IFERROR(H223/G223*1000,"")</f>
        <v/>
      </c>
      <c r="O223" s="41">
        <f>IFERROR(I223/G223,"")</f>
        <v/>
      </c>
      <c r="P223" s="41">
        <f>IFERROR(J223/G223,"")</f>
        <v/>
      </c>
      <c r="Q223" s="42">
        <f>IFERROR(P223/O223,"")</f>
        <v/>
      </c>
      <c r="R223" s="43">
        <f>IFERROR(K223/J223,"")</f>
        <v/>
      </c>
      <c r="S223" s="37">
        <f>IFERROR(M223/H223,"")</f>
        <v/>
      </c>
      <c r="T223" s="27">
        <f>IF(G223="","",IF(G223&gt;='KPI Benchmarks'!$D$14,"Yes","No"))</f>
        <v/>
      </c>
      <c r="U223" s="44">
        <f>IF(G223="","",IF(T223="No","Running",IF(AND(N(O223)&gt;='KPI Benchmarks'!$D$5,N(Q223)&gt;='KPI Benchmarks'!$D$6,OR(N(L223)&gt;0,N(K223)&gt;0)),"WINNER",IF(AND(N(O223)&gt;='KPI Benchmarks'!$D$5,N(Q223)&gt;='KPI Benchmarks'!$D$6),"Watch","Cut"))))</f>
        <v/>
      </c>
      <c r="V223" s="27">
        <f>IF(U223="WINNER",IF(N(L223)&gt;0,"Prospecting (ASC / interests)","Retargeting candidate"),IF(U223="Watch","Retest or retargeting","" ))</f>
        <v/>
      </c>
      <c r="W223" s="13" t="n"/>
    </row>
    <row r="224">
      <c r="A224" s="13" t="n"/>
      <c r="B224" s="13" t="n"/>
      <c r="C224" s="13" t="n"/>
      <c r="D224" s="13" t="n"/>
      <c r="E224" s="13" t="n"/>
      <c r="F224" s="13" t="n"/>
      <c r="G224" s="40" t="n"/>
      <c r="H224" s="35" t="n"/>
      <c r="I224" s="40" t="n"/>
      <c r="J224" s="40" t="n"/>
      <c r="K224" s="40" t="n"/>
      <c r="L224" s="40" t="n"/>
      <c r="M224" s="34" t="n"/>
      <c r="N224" s="36">
        <f>IFERROR(H224/G224*1000,"")</f>
        <v/>
      </c>
      <c r="O224" s="41">
        <f>IFERROR(I224/G224,"")</f>
        <v/>
      </c>
      <c r="P224" s="41">
        <f>IFERROR(J224/G224,"")</f>
        <v/>
      </c>
      <c r="Q224" s="42">
        <f>IFERROR(P224/O224,"")</f>
        <v/>
      </c>
      <c r="R224" s="43">
        <f>IFERROR(K224/J224,"")</f>
        <v/>
      </c>
      <c r="S224" s="37">
        <f>IFERROR(M224/H224,"")</f>
        <v/>
      </c>
      <c r="T224" s="27">
        <f>IF(G224="","",IF(G224&gt;='KPI Benchmarks'!$D$14,"Yes","No"))</f>
        <v/>
      </c>
      <c r="U224" s="44">
        <f>IF(G224="","",IF(T224="No","Running",IF(AND(N(O224)&gt;='KPI Benchmarks'!$D$5,N(Q224)&gt;='KPI Benchmarks'!$D$6,OR(N(L224)&gt;0,N(K224)&gt;0)),"WINNER",IF(AND(N(O224)&gt;='KPI Benchmarks'!$D$5,N(Q224)&gt;='KPI Benchmarks'!$D$6),"Watch","Cut"))))</f>
        <v/>
      </c>
      <c r="V224" s="27">
        <f>IF(U224="WINNER",IF(N(L224)&gt;0,"Prospecting (ASC / interests)","Retargeting candidate"),IF(U224="Watch","Retest or retargeting","" ))</f>
        <v/>
      </c>
      <c r="W224" s="13" t="n"/>
    </row>
    <row r="225">
      <c r="A225" s="13" t="n"/>
      <c r="B225" s="13" t="n"/>
      <c r="C225" s="13" t="n"/>
      <c r="D225" s="13" t="n"/>
      <c r="E225" s="13" t="n"/>
      <c r="F225" s="13" t="n"/>
      <c r="G225" s="40" t="n"/>
      <c r="H225" s="35" t="n"/>
      <c r="I225" s="40" t="n"/>
      <c r="J225" s="40" t="n"/>
      <c r="K225" s="40" t="n"/>
      <c r="L225" s="40" t="n"/>
      <c r="M225" s="34" t="n"/>
      <c r="N225" s="36">
        <f>IFERROR(H225/G225*1000,"")</f>
        <v/>
      </c>
      <c r="O225" s="41">
        <f>IFERROR(I225/G225,"")</f>
        <v/>
      </c>
      <c r="P225" s="41">
        <f>IFERROR(J225/G225,"")</f>
        <v/>
      </c>
      <c r="Q225" s="42">
        <f>IFERROR(P225/O225,"")</f>
        <v/>
      </c>
      <c r="R225" s="43">
        <f>IFERROR(K225/J225,"")</f>
        <v/>
      </c>
      <c r="S225" s="37">
        <f>IFERROR(M225/H225,"")</f>
        <v/>
      </c>
      <c r="T225" s="27">
        <f>IF(G225="","",IF(G225&gt;='KPI Benchmarks'!$D$14,"Yes","No"))</f>
        <v/>
      </c>
      <c r="U225" s="44">
        <f>IF(G225="","",IF(T225="No","Running",IF(AND(N(O225)&gt;='KPI Benchmarks'!$D$5,N(Q225)&gt;='KPI Benchmarks'!$D$6,OR(N(L225)&gt;0,N(K225)&gt;0)),"WINNER",IF(AND(N(O225)&gt;='KPI Benchmarks'!$D$5,N(Q225)&gt;='KPI Benchmarks'!$D$6),"Watch","Cut"))))</f>
        <v/>
      </c>
      <c r="V225" s="27">
        <f>IF(U225="WINNER",IF(N(L225)&gt;0,"Prospecting (ASC / interests)","Retargeting candidate"),IF(U225="Watch","Retest or retargeting","" ))</f>
        <v/>
      </c>
      <c r="W225" s="13" t="n"/>
    </row>
    <row r="226">
      <c r="A226" s="13" t="n"/>
      <c r="B226" s="13" t="n"/>
      <c r="C226" s="13" t="n"/>
      <c r="D226" s="13" t="n"/>
      <c r="E226" s="13" t="n"/>
      <c r="F226" s="13" t="n"/>
      <c r="G226" s="40" t="n"/>
      <c r="H226" s="35" t="n"/>
      <c r="I226" s="40" t="n"/>
      <c r="J226" s="40" t="n"/>
      <c r="K226" s="40" t="n"/>
      <c r="L226" s="40" t="n"/>
      <c r="M226" s="34" t="n"/>
      <c r="N226" s="36">
        <f>IFERROR(H226/G226*1000,"")</f>
        <v/>
      </c>
      <c r="O226" s="41">
        <f>IFERROR(I226/G226,"")</f>
        <v/>
      </c>
      <c r="P226" s="41">
        <f>IFERROR(J226/G226,"")</f>
        <v/>
      </c>
      <c r="Q226" s="42">
        <f>IFERROR(P226/O226,"")</f>
        <v/>
      </c>
      <c r="R226" s="43">
        <f>IFERROR(K226/J226,"")</f>
        <v/>
      </c>
      <c r="S226" s="37">
        <f>IFERROR(M226/H226,"")</f>
        <v/>
      </c>
      <c r="T226" s="27">
        <f>IF(G226="","",IF(G226&gt;='KPI Benchmarks'!$D$14,"Yes","No"))</f>
        <v/>
      </c>
      <c r="U226" s="44">
        <f>IF(G226="","",IF(T226="No","Running",IF(AND(N(O226)&gt;='KPI Benchmarks'!$D$5,N(Q226)&gt;='KPI Benchmarks'!$D$6,OR(N(L226)&gt;0,N(K226)&gt;0)),"WINNER",IF(AND(N(O226)&gt;='KPI Benchmarks'!$D$5,N(Q226)&gt;='KPI Benchmarks'!$D$6),"Watch","Cut"))))</f>
        <v/>
      </c>
      <c r="V226" s="27">
        <f>IF(U226="WINNER",IF(N(L226)&gt;0,"Prospecting (ASC / interests)","Retargeting candidate"),IF(U226="Watch","Retest or retargeting","" ))</f>
        <v/>
      </c>
      <c r="W226" s="13" t="n"/>
    </row>
    <row r="227">
      <c r="A227" s="13" t="n"/>
      <c r="B227" s="13" t="n"/>
      <c r="C227" s="13" t="n"/>
      <c r="D227" s="13" t="n"/>
      <c r="E227" s="13" t="n"/>
      <c r="F227" s="13" t="n"/>
      <c r="G227" s="40" t="n"/>
      <c r="H227" s="35" t="n"/>
      <c r="I227" s="40" t="n"/>
      <c r="J227" s="40" t="n"/>
      <c r="K227" s="40" t="n"/>
      <c r="L227" s="40" t="n"/>
      <c r="M227" s="34" t="n"/>
      <c r="N227" s="36">
        <f>IFERROR(H227/G227*1000,"")</f>
        <v/>
      </c>
      <c r="O227" s="41">
        <f>IFERROR(I227/G227,"")</f>
        <v/>
      </c>
      <c r="P227" s="41">
        <f>IFERROR(J227/G227,"")</f>
        <v/>
      </c>
      <c r="Q227" s="42">
        <f>IFERROR(P227/O227,"")</f>
        <v/>
      </c>
      <c r="R227" s="43">
        <f>IFERROR(K227/J227,"")</f>
        <v/>
      </c>
      <c r="S227" s="37">
        <f>IFERROR(M227/H227,"")</f>
        <v/>
      </c>
      <c r="T227" s="27">
        <f>IF(G227="","",IF(G227&gt;='KPI Benchmarks'!$D$14,"Yes","No"))</f>
        <v/>
      </c>
      <c r="U227" s="44">
        <f>IF(G227="","",IF(T227="No","Running",IF(AND(N(O227)&gt;='KPI Benchmarks'!$D$5,N(Q227)&gt;='KPI Benchmarks'!$D$6,OR(N(L227)&gt;0,N(K227)&gt;0)),"WINNER",IF(AND(N(O227)&gt;='KPI Benchmarks'!$D$5,N(Q227)&gt;='KPI Benchmarks'!$D$6),"Watch","Cut"))))</f>
        <v/>
      </c>
      <c r="V227" s="27">
        <f>IF(U227="WINNER",IF(N(L227)&gt;0,"Prospecting (ASC / interests)","Retargeting candidate"),IF(U227="Watch","Retest or retargeting","" ))</f>
        <v/>
      </c>
      <c r="W227" s="13" t="n"/>
    </row>
    <row r="228">
      <c r="A228" s="13" t="n"/>
      <c r="B228" s="13" t="n"/>
      <c r="C228" s="13" t="n"/>
      <c r="D228" s="13" t="n"/>
      <c r="E228" s="13" t="n"/>
      <c r="F228" s="13" t="n"/>
      <c r="G228" s="40" t="n"/>
      <c r="H228" s="35" t="n"/>
      <c r="I228" s="40" t="n"/>
      <c r="J228" s="40" t="n"/>
      <c r="K228" s="40" t="n"/>
      <c r="L228" s="40" t="n"/>
      <c r="M228" s="34" t="n"/>
      <c r="N228" s="36">
        <f>IFERROR(H228/G228*1000,"")</f>
        <v/>
      </c>
      <c r="O228" s="41">
        <f>IFERROR(I228/G228,"")</f>
        <v/>
      </c>
      <c r="P228" s="41">
        <f>IFERROR(J228/G228,"")</f>
        <v/>
      </c>
      <c r="Q228" s="42">
        <f>IFERROR(P228/O228,"")</f>
        <v/>
      </c>
      <c r="R228" s="43">
        <f>IFERROR(K228/J228,"")</f>
        <v/>
      </c>
      <c r="S228" s="37">
        <f>IFERROR(M228/H228,"")</f>
        <v/>
      </c>
      <c r="T228" s="27">
        <f>IF(G228="","",IF(G228&gt;='KPI Benchmarks'!$D$14,"Yes","No"))</f>
        <v/>
      </c>
      <c r="U228" s="44">
        <f>IF(G228="","",IF(T228="No","Running",IF(AND(N(O228)&gt;='KPI Benchmarks'!$D$5,N(Q228)&gt;='KPI Benchmarks'!$D$6,OR(N(L228)&gt;0,N(K228)&gt;0)),"WINNER",IF(AND(N(O228)&gt;='KPI Benchmarks'!$D$5,N(Q228)&gt;='KPI Benchmarks'!$D$6),"Watch","Cut"))))</f>
        <v/>
      </c>
      <c r="V228" s="27">
        <f>IF(U228="WINNER",IF(N(L228)&gt;0,"Prospecting (ASC / interests)","Retargeting candidate"),IF(U228="Watch","Retest or retargeting","" ))</f>
        <v/>
      </c>
      <c r="W228" s="13" t="n"/>
    </row>
    <row r="229">
      <c r="A229" s="13" t="n"/>
      <c r="B229" s="13" t="n"/>
      <c r="C229" s="13" t="n"/>
      <c r="D229" s="13" t="n"/>
      <c r="E229" s="13" t="n"/>
      <c r="F229" s="13" t="n"/>
      <c r="G229" s="40" t="n"/>
      <c r="H229" s="35" t="n"/>
      <c r="I229" s="40" t="n"/>
      <c r="J229" s="40" t="n"/>
      <c r="K229" s="40" t="n"/>
      <c r="L229" s="40" t="n"/>
      <c r="M229" s="34" t="n"/>
      <c r="N229" s="36">
        <f>IFERROR(H229/G229*1000,"")</f>
        <v/>
      </c>
      <c r="O229" s="41">
        <f>IFERROR(I229/G229,"")</f>
        <v/>
      </c>
      <c r="P229" s="41">
        <f>IFERROR(J229/G229,"")</f>
        <v/>
      </c>
      <c r="Q229" s="42">
        <f>IFERROR(P229/O229,"")</f>
        <v/>
      </c>
      <c r="R229" s="43">
        <f>IFERROR(K229/J229,"")</f>
        <v/>
      </c>
      <c r="S229" s="37">
        <f>IFERROR(M229/H229,"")</f>
        <v/>
      </c>
      <c r="T229" s="27">
        <f>IF(G229="","",IF(G229&gt;='KPI Benchmarks'!$D$14,"Yes","No"))</f>
        <v/>
      </c>
      <c r="U229" s="44">
        <f>IF(G229="","",IF(T229="No","Running",IF(AND(N(O229)&gt;='KPI Benchmarks'!$D$5,N(Q229)&gt;='KPI Benchmarks'!$D$6,OR(N(L229)&gt;0,N(K229)&gt;0)),"WINNER",IF(AND(N(O229)&gt;='KPI Benchmarks'!$D$5,N(Q229)&gt;='KPI Benchmarks'!$D$6),"Watch","Cut"))))</f>
        <v/>
      </c>
      <c r="V229" s="27">
        <f>IF(U229="WINNER",IF(N(L229)&gt;0,"Prospecting (ASC / interests)","Retargeting candidate"),IF(U229="Watch","Retest or retargeting","" ))</f>
        <v/>
      </c>
      <c r="W229" s="13" t="n"/>
    </row>
    <row r="230">
      <c r="A230" s="13" t="n"/>
      <c r="B230" s="13" t="n"/>
      <c r="C230" s="13" t="n"/>
      <c r="D230" s="13" t="n"/>
      <c r="E230" s="13" t="n"/>
      <c r="F230" s="13" t="n"/>
      <c r="G230" s="40" t="n"/>
      <c r="H230" s="35" t="n"/>
      <c r="I230" s="40" t="n"/>
      <c r="J230" s="40" t="n"/>
      <c r="K230" s="40" t="n"/>
      <c r="L230" s="40" t="n"/>
      <c r="M230" s="34" t="n"/>
      <c r="N230" s="36">
        <f>IFERROR(H230/G230*1000,"")</f>
        <v/>
      </c>
      <c r="O230" s="41">
        <f>IFERROR(I230/G230,"")</f>
        <v/>
      </c>
      <c r="P230" s="41">
        <f>IFERROR(J230/G230,"")</f>
        <v/>
      </c>
      <c r="Q230" s="42">
        <f>IFERROR(P230/O230,"")</f>
        <v/>
      </c>
      <c r="R230" s="43">
        <f>IFERROR(K230/J230,"")</f>
        <v/>
      </c>
      <c r="S230" s="37">
        <f>IFERROR(M230/H230,"")</f>
        <v/>
      </c>
      <c r="T230" s="27">
        <f>IF(G230="","",IF(G230&gt;='KPI Benchmarks'!$D$14,"Yes","No"))</f>
        <v/>
      </c>
      <c r="U230" s="44">
        <f>IF(G230="","",IF(T230="No","Running",IF(AND(N(O230)&gt;='KPI Benchmarks'!$D$5,N(Q230)&gt;='KPI Benchmarks'!$D$6,OR(N(L230)&gt;0,N(K230)&gt;0)),"WINNER",IF(AND(N(O230)&gt;='KPI Benchmarks'!$D$5,N(Q230)&gt;='KPI Benchmarks'!$D$6),"Watch","Cut"))))</f>
        <v/>
      </c>
      <c r="V230" s="27">
        <f>IF(U230="WINNER",IF(N(L230)&gt;0,"Prospecting (ASC / interests)","Retargeting candidate"),IF(U230="Watch","Retest or retargeting","" ))</f>
        <v/>
      </c>
      <c r="W230" s="13" t="n"/>
    </row>
    <row r="231">
      <c r="A231" s="13" t="n"/>
      <c r="B231" s="13" t="n"/>
      <c r="C231" s="13" t="n"/>
      <c r="D231" s="13" t="n"/>
      <c r="E231" s="13" t="n"/>
      <c r="F231" s="13" t="n"/>
      <c r="G231" s="40" t="n"/>
      <c r="H231" s="35" t="n"/>
      <c r="I231" s="40" t="n"/>
      <c r="J231" s="40" t="n"/>
      <c r="K231" s="40" t="n"/>
      <c r="L231" s="40" t="n"/>
      <c r="M231" s="34" t="n"/>
      <c r="N231" s="36">
        <f>IFERROR(H231/G231*1000,"")</f>
        <v/>
      </c>
      <c r="O231" s="41">
        <f>IFERROR(I231/G231,"")</f>
        <v/>
      </c>
      <c r="P231" s="41">
        <f>IFERROR(J231/G231,"")</f>
        <v/>
      </c>
      <c r="Q231" s="42">
        <f>IFERROR(P231/O231,"")</f>
        <v/>
      </c>
      <c r="R231" s="43">
        <f>IFERROR(K231/J231,"")</f>
        <v/>
      </c>
      <c r="S231" s="37">
        <f>IFERROR(M231/H231,"")</f>
        <v/>
      </c>
      <c r="T231" s="27">
        <f>IF(G231="","",IF(G231&gt;='KPI Benchmarks'!$D$14,"Yes","No"))</f>
        <v/>
      </c>
      <c r="U231" s="44">
        <f>IF(G231="","",IF(T231="No","Running",IF(AND(N(O231)&gt;='KPI Benchmarks'!$D$5,N(Q231)&gt;='KPI Benchmarks'!$D$6,OR(N(L231)&gt;0,N(K231)&gt;0)),"WINNER",IF(AND(N(O231)&gt;='KPI Benchmarks'!$D$5,N(Q231)&gt;='KPI Benchmarks'!$D$6),"Watch","Cut"))))</f>
        <v/>
      </c>
      <c r="V231" s="27">
        <f>IF(U231="WINNER",IF(N(L231)&gt;0,"Prospecting (ASC / interests)","Retargeting candidate"),IF(U231="Watch","Retest or retargeting","" ))</f>
        <v/>
      </c>
      <c r="W231" s="13" t="n"/>
    </row>
    <row r="232">
      <c r="A232" s="13" t="n"/>
      <c r="B232" s="13" t="n"/>
      <c r="C232" s="13" t="n"/>
      <c r="D232" s="13" t="n"/>
      <c r="E232" s="13" t="n"/>
      <c r="F232" s="13" t="n"/>
      <c r="G232" s="40" t="n"/>
      <c r="H232" s="35" t="n"/>
      <c r="I232" s="40" t="n"/>
      <c r="J232" s="40" t="n"/>
      <c r="K232" s="40" t="n"/>
      <c r="L232" s="40" t="n"/>
      <c r="M232" s="34" t="n"/>
      <c r="N232" s="36">
        <f>IFERROR(H232/G232*1000,"")</f>
        <v/>
      </c>
      <c r="O232" s="41">
        <f>IFERROR(I232/G232,"")</f>
        <v/>
      </c>
      <c r="P232" s="41">
        <f>IFERROR(J232/G232,"")</f>
        <v/>
      </c>
      <c r="Q232" s="42">
        <f>IFERROR(P232/O232,"")</f>
        <v/>
      </c>
      <c r="R232" s="43">
        <f>IFERROR(K232/J232,"")</f>
        <v/>
      </c>
      <c r="S232" s="37">
        <f>IFERROR(M232/H232,"")</f>
        <v/>
      </c>
      <c r="T232" s="27">
        <f>IF(G232="","",IF(G232&gt;='KPI Benchmarks'!$D$14,"Yes","No"))</f>
        <v/>
      </c>
      <c r="U232" s="44">
        <f>IF(G232="","",IF(T232="No","Running",IF(AND(N(O232)&gt;='KPI Benchmarks'!$D$5,N(Q232)&gt;='KPI Benchmarks'!$D$6,OR(N(L232)&gt;0,N(K232)&gt;0)),"WINNER",IF(AND(N(O232)&gt;='KPI Benchmarks'!$D$5,N(Q232)&gt;='KPI Benchmarks'!$D$6),"Watch","Cut"))))</f>
        <v/>
      </c>
      <c r="V232" s="27">
        <f>IF(U232="WINNER",IF(N(L232)&gt;0,"Prospecting (ASC / interests)","Retargeting candidate"),IF(U232="Watch","Retest or retargeting","" ))</f>
        <v/>
      </c>
      <c r="W232" s="13" t="n"/>
    </row>
    <row r="233">
      <c r="A233" s="13" t="n"/>
      <c r="B233" s="13" t="n"/>
      <c r="C233" s="13" t="n"/>
      <c r="D233" s="13" t="n"/>
      <c r="E233" s="13" t="n"/>
      <c r="F233" s="13" t="n"/>
      <c r="G233" s="40" t="n"/>
      <c r="H233" s="35" t="n"/>
      <c r="I233" s="40" t="n"/>
      <c r="J233" s="40" t="n"/>
      <c r="K233" s="40" t="n"/>
      <c r="L233" s="40" t="n"/>
      <c r="M233" s="34" t="n"/>
      <c r="N233" s="36">
        <f>IFERROR(H233/G233*1000,"")</f>
        <v/>
      </c>
      <c r="O233" s="41">
        <f>IFERROR(I233/G233,"")</f>
        <v/>
      </c>
      <c r="P233" s="41">
        <f>IFERROR(J233/G233,"")</f>
        <v/>
      </c>
      <c r="Q233" s="42">
        <f>IFERROR(P233/O233,"")</f>
        <v/>
      </c>
      <c r="R233" s="43">
        <f>IFERROR(K233/J233,"")</f>
        <v/>
      </c>
      <c r="S233" s="37">
        <f>IFERROR(M233/H233,"")</f>
        <v/>
      </c>
      <c r="T233" s="27">
        <f>IF(G233="","",IF(G233&gt;='KPI Benchmarks'!$D$14,"Yes","No"))</f>
        <v/>
      </c>
      <c r="U233" s="44">
        <f>IF(G233="","",IF(T233="No","Running",IF(AND(N(O233)&gt;='KPI Benchmarks'!$D$5,N(Q233)&gt;='KPI Benchmarks'!$D$6,OR(N(L233)&gt;0,N(K233)&gt;0)),"WINNER",IF(AND(N(O233)&gt;='KPI Benchmarks'!$D$5,N(Q233)&gt;='KPI Benchmarks'!$D$6),"Watch","Cut"))))</f>
        <v/>
      </c>
      <c r="V233" s="27">
        <f>IF(U233="WINNER",IF(N(L233)&gt;0,"Prospecting (ASC / interests)","Retargeting candidate"),IF(U233="Watch","Retest or retargeting","" ))</f>
        <v/>
      </c>
      <c r="W233" s="13" t="n"/>
    </row>
    <row r="234">
      <c r="A234" s="13" t="n"/>
      <c r="B234" s="13" t="n"/>
      <c r="C234" s="13" t="n"/>
      <c r="D234" s="13" t="n"/>
      <c r="E234" s="13" t="n"/>
      <c r="F234" s="13" t="n"/>
      <c r="G234" s="40" t="n"/>
      <c r="H234" s="35" t="n"/>
      <c r="I234" s="40" t="n"/>
      <c r="J234" s="40" t="n"/>
      <c r="K234" s="40" t="n"/>
      <c r="L234" s="40" t="n"/>
      <c r="M234" s="34" t="n"/>
      <c r="N234" s="36">
        <f>IFERROR(H234/G234*1000,"")</f>
        <v/>
      </c>
      <c r="O234" s="41">
        <f>IFERROR(I234/G234,"")</f>
        <v/>
      </c>
      <c r="P234" s="41">
        <f>IFERROR(J234/G234,"")</f>
        <v/>
      </c>
      <c r="Q234" s="42">
        <f>IFERROR(P234/O234,"")</f>
        <v/>
      </c>
      <c r="R234" s="43">
        <f>IFERROR(K234/J234,"")</f>
        <v/>
      </c>
      <c r="S234" s="37">
        <f>IFERROR(M234/H234,"")</f>
        <v/>
      </c>
      <c r="T234" s="27">
        <f>IF(G234="","",IF(G234&gt;='KPI Benchmarks'!$D$14,"Yes","No"))</f>
        <v/>
      </c>
      <c r="U234" s="44">
        <f>IF(G234="","",IF(T234="No","Running",IF(AND(N(O234)&gt;='KPI Benchmarks'!$D$5,N(Q234)&gt;='KPI Benchmarks'!$D$6,OR(N(L234)&gt;0,N(K234)&gt;0)),"WINNER",IF(AND(N(O234)&gt;='KPI Benchmarks'!$D$5,N(Q234)&gt;='KPI Benchmarks'!$D$6),"Watch","Cut"))))</f>
        <v/>
      </c>
      <c r="V234" s="27">
        <f>IF(U234="WINNER",IF(N(L234)&gt;0,"Prospecting (ASC / interests)","Retargeting candidate"),IF(U234="Watch","Retest or retargeting","" ))</f>
        <v/>
      </c>
      <c r="W234" s="13" t="n"/>
    </row>
    <row r="235">
      <c r="A235" s="13" t="n"/>
      <c r="B235" s="13" t="n"/>
      <c r="C235" s="13" t="n"/>
      <c r="D235" s="13" t="n"/>
      <c r="E235" s="13" t="n"/>
      <c r="F235" s="13" t="n"/>
      <c r="G235" s="40" t="n"/>
      <c r="H235" s="35" t="n"/>
      <c r="I235" s="40" t="n"/>
      <c r="J235" s="40" t="n"/>
      <c r="K235" s="40" t="n"/>
      <c r="L235" s="40" t="n"/>
      <c r="M235" s="34" t="n"/>
      <c r="N235" s="36">
        <f>IFERROR(H235/G235*1000,"")</f>
        <v/>
      </c>
      <c r="O235" s="41">
        <f>IFERROR(I235/G235,"")</f>
        <v/>
      </c>
      <c r="P235" s="41">
        <f>IFERROR(J235/G235,"")</f>
        <v/>
      </c>
      <c r="Q235" s="42">
        <f>IFERROR(P235/O235,"")</f>
        <v/>
      </c>
      <c r="R235" s="43">
        <f>IFERROR(K235/J235,"")</f>
        <v/>
      </c>
      <c r="S235" s="37">
        <f>IFERROR(M235/H235,"")</f>
        <v/>
      </c>
      <c r="T235" s="27">
        <f>IF(G235="","",IF(G235&gt;='KPI Benchmarks'!$D$14,"Yes","No"))</f>
        <v/>
      </c>
      <c r="U235" s="44">
        <f>IF(G235="","",IF(T235="No","Running",IF(AND(N(O235)&gt;='KPI Benchmarks'!$D$5,N(Q235)&gt;='KPI Benchmarks'!$D$6,OR(N(L235)&gt;0,N(K235)&gt;0)),"WINNER",IF(AND(N(O235)&gt;='KPI Benchmarks'!$D$5,N(Q235)&gt;='KPI Benchmarks'!$D$6),"Watch","Cut"))))</f>
        <v/>
      </c>
      <c r="V235" s="27">
        <f>IF(U235="WINNER",IF(N(L235)&gt;0,"Prospecting (ASC / interests)","Retargeting candidate"),IF(U235="Watch","Retest or retargeting","" ))</f>
        <v/>
      </c>
      <c r="W235" s="13" t="n"/>
    </row>
    <row r="236">
      <c r="A236" s="13" t="n"/>
      <c r="B236" s="13" t="n"/>
      <c r="C236" s="13" t="n"/>
      <c r="D236" s="13" t="n"/>
      <c r="E236" s="13" t="n"/>
      <c r="F236" s="13" t="n"/>
      <c r="G236" s="40" t="n"/>
      <c r="H236" s="35" t="n"/>
      <c r="I236" s="40" t="n"/>
      <c r="J236" s="40" t="n"/>
      <c r="K236" s="40" t="n"/>
      <c r="L236" s="40" t="n"/>
      <c r="M236" s="34" t="n"/>
      <c r="N236" s="36">
        <f>IFERROR(H236/G236*1000,"")</f>
        <v/>
      </c>
      <c r="O236" s="41">
        <f>IFERROR(I236/G236,"")</f>
        <v/>
      </c>
      <c r="P236" s="41">
        <f>IFERROR(J236/G236,"")</f>
        <v/>
      </c>
      <c r="Q236" s="42">
        <f>IFERROR(P236/O236,"")</f>
        <v/>
      </c>
      <c r="R236" s="43">
        <f>IFERROR(K236/J236,"")</f>
        <v/>
      </c>
      <c r="S236" s="37">
        <f>IFERROR(M236/H236,"")</f>
        <v/>
      </c>
      <c r="T236" s="27">
        <f>IF(G236="","",IF(G236&gt;='KPI Benchmarks'!$D$14,"Yes","No"))</f>
        <v/>
      </c>
      <c r="U236" s="44">
        <f>IF(G236="","",IF(T236="No","Running",IF(AND(N(O236)&gt;='KPI Benchmarks'!$D$5,N(Q236)&gt;='KPI Benchmarks'!$D$6,OR(N(L236)&gt;0,N(K236)&gt;0)),"WINNER",IF(AND(N(O236)&gt;='KPI Benchmarks'!$D$5,N(Q236)&gt;='KPI Benchmarks'!$D$6),"Watch","Cut"))))</f>
        <v/>
      </c>
      <c r="V236" s="27">
        <f>IF(U236="WINNER",IF(N(L236)&gt;0,"Prospecting (ASC / interests)","Retargeting candidate"),IF(U236="Watch","Retest or retargeting","" ))</f>
        <v/>
      </c>
      <c r="W236" s="13" t="n"/>
    </row>
    <row r="237">
      <c r="A237" s="13" t="n"/>
      <c r="B237" s="13" t="n"/>
      <c r="C237" s="13" t="n"/>
      <c r="D237" s="13" t="n"/>
      <c r="E237" s="13" t="n"/>
      <c r="F237" s="13" t="n"/>
      <c r="G237" s="40" t="n"/>
      <c r="H237" s="35" t="n"/>
      <c r="I237" s="40" t="n"/>
      <c r="J237" s="40" t="n"/>
      <c r="K237" s="40" t="n"/>
      <c r="L237" s="40" t="n"/>
      <c r="M237" s="34" t="n"/>
      <c r="N237" s="36">
        <f>IFERROR(H237/G237*1000,"")</f>
        <v/>
      </c>
      <c r="O237" s="41">
        <f>IFERROR(I237/G237,"")</f>
        <v/>
      </c>
      <c r="P237" s="41">
        <f>IFERROR(J237/G237,"")</f>
        <v/>
      </c>
      <c r="Q237" s="42">
        <f>IFERROR(P237/O237,"")</f>
        <v/>
      </c>
      <c r="R237" s="43">
        <f>IFERROR(K237/J237,"")</f>
        <v/>
      </c>
      <c r="S237" s="37">
        <f>IFERROR(M237/H237,"")</f>
        <v/>
      </c>
      <c r="T237" s="27">
        <f>IF(G237="","",IF(G237&gt;='KPI Benchmarks'!$D$14,"Yes","No"))</f>
        <v/>
      </c>
      <c r="U237" s="44">
        <f>IF(G237="","",IF(T237="No","Running",IF(AND(N(O237)&gt;='KPI Benchmarks'!$D$5,N(Q237)&gt;='KPI Benchmarks'!$D$6,OR(N(L237)&gt;0,N(K237)&gt;0)),"WINNER",IF(AND(N(O237)&gt;='KPI Benchmarks'!$D$5,N(Q237)&gt;='KPI Benchmarks'!$D$6),"Watch","Cut"))))</f>
        <v/>
      </c>
      <c r="V237" s="27">
        <f>IF(U237="WINNER",IF(N(L237)&gt;0,"Prospecting (ASC / interests)","Retargeting candidate"),IF(U237="Watch","Retest or retargeting","" ))</f>
        <v/>
      </c>
      <c r="W237" s="13" t="n"/>
    </row>
    <row r="238">
      <c r="A238" s="13" t="n"/>
      <c r="B238" s="13" t="n"/>
      <c r="C238" s="13" t="n"/>
      <c r="D238" s="13" t="n"/>
      <c r="E238" s="13" t="n"/>
      <c r="F238" s="13" t="n"/>
      <c r="G238" s="40" t="n"/>
      <c r="H238" s="35" t="n"/>
      <c r="I238" s="40" t="n"/>
      <c r="J238" s="40" t="n"/>
      <c r="K238" s="40" t="n"/>
      <c r="L238" s="40" t="n"/>
      <c r="M238" s="34" t="n"/>
      <c r="N238" s="36">
        <f>IFERROR(H238/G238*1000,"")</f>
        <v/>
      </c>
      <c r="O238" s="41">
        <f>IFERROR(I238/G238,"")</f>
        <v/>
      </c>
      <c r="P238" s="41">
        <f>IFERROR(J238/G238,"")</f>
        <v/>
      </c>
      <c r="Q238" s="42">
        <f>IFERROR(P238/O238,"")</f>
        <v/>
      </c>
      <c r="R238" s="43">
        <f>IFERROR(K238/J238,"")</f>
        <v/>
      </c>
      <c r="S238" s="37">
        <f>IFERROR(M238/H238,"")</f>
        <v/>
      </c>
      <c r="T238" s="27">
        <f>IF(G238="","",IF(G238&gt;='KPI Benchmarks'!$D$14,"Yes","No"))</f>
        <v/>
      </c>
      <c r="U238" s="44">
        <f>IF(G238="","",IF(T238="No","Running",IF(AND(N(O238)&gt;='KPI Benchmarks'!$D$5,N(Q238)&gt;='KPI Benchmarks'!$D$6,OR(N(L238)&gt;0,N(K238)&gt;0)),"WINNER",IF(AND(N(O238)&gt;='KPI Benchmarks'!$D$5,N(Q238)&gt;='KPI Benchmarks'!$D$6),"Watch","Cut"))))</f>
        <v/>
      </c>
      <c r="V238" s="27">
        <f>IF(U238="WINNER",IF(N(L238)&gt;0,"Prospecting (ASC / interests)","Retargeting candidate"),IF(U238="Watch","Retest or retargeting","" ))</f>
        <v/>
      </c>
      <c r="W238" s="13" t="n"/>
    </row>
    <row r="239">
      <c r="A239" s="13" t="n"/>
      <c r="B239" s="13" t="n"/>
      <c r="C239" s="13" t="n"/>
      <c r="D239" s="13" t="n"/>
      <c r="E239" s="13" t="n"/>
      <c r="F239" s="13" t="n"/>
      <c r="G239" s="40" t="n"/>
      <c r="H239" s="35" t="n"/>
      <c r="I239" s="40" t="n"/>
      <c r="J239" s="40" t="n"/>
      <c r="K239" s="40" t="n"/>
      <c r="L239" s="40" t="n"/>
      <c r="M239" s="34" t="n"/>
      <c r="N239" s="36">
        <f>IFERROR(H239/G239*1000,"")</f>
        <v/>
      </c>
      <c r="O239" s="41">
        <f>IFERROR(I239/G239,"")</f>
        <v/>
      </c>
      <c r="P239" s="41">
        <f>IFERROR(J239/G239,"")</f>
        <v/>
      </c>
      <c r="Q239" s="42">
        <f>IFERROR(P239/O239,"")</f>
        <v/>
      </c>
      <c r="R239" s="43">
        <f>IFERROR(K239/J239,"")</f>
        <v/>
      </c>
      <c r="S239" s="37">
        <f>IFERROR(M239/H239,"")</f>
        <v/>
      </c>
      <c r="T239" s="27">
        <f>IF(G239="","",IF(G239&gt;='KPI Benchmarks'!$D$14,"Yes","No"))</f>
        <v/>
      </c>
      <c r="U239" s="44">
        <f>IF(G239="","",IF(T239="No","Running",IF(AND(N(O239)&gt;='KPI Benchmarks'!$D$5,N(Q239)&gt;='KPI Benchmarks'!$D$6,OR(N(L239)&gt;0,N(K239)&gt;0)),"WINNER",IF(AND(N(O239)&gt;='KPI Benchmarks'!$D$5,N(Q239)&gt;='KPI Benchmarks'!$D$6),"Watch","Cut"))))</f>
        <v/>
      </c>
      <c r="V239" s="27">
        <f>IF(U239="WINNER",IF(N(L239)&gt;0,"Prospecting (ASC / interests)","Retargeting candidate"),IF(U239="Watch","Retest or retargeting","" ))</f>
        <v/>
      </c>
      <c r="W239" s="13" t="n"/>
    </row>
    <row r="240">
      <c r="A240" s="13" t="n"/>
      <c r="B240" s="13" t="n"/>
      <c r="C240" s="13" t="n"/>
      <c r="D240" s="13" t="n"/>
      <c r="E240" s="13" t="n"/>
      <c r="F240" s="13" t="n"/>
      <c r="G240" s="40" t="n"/>
      <c r="H240" s="35" t="n"/>
      <c r="I240" s="40" t="n"/>
      <c r="J240" s="40" t="n"/>
      <c r="K240" s="40" t="n"/>
      <c r="L240" s="40" t="n"/>
      <c r="M240" s="34" t="n"/>
      <c r="N240" s="36">
        <f>IFERROR(H240/G240*1000,"")</f>
        <v/>
      </c>
      <c r="O240" s="41">
        <f>IFERROR(I240/G240,"")</f>
        <v/>
      </c>
      <c r="P240" s="41">
        <f>IFERROR(J240/G240,"")</f>
        <v/>
      </c>
      <c r="Q240" s="42">
        <f>IFERROR(P240/O240,"")</f>
        <v/>
      </c>
      <c r="R240" s="43">
        <f>IFERROR(K240/J240,"")</f>
        <v/>
      </c>
      <c r="S240" s="37">
        <f>IFERROR(M240/H240,"")</f>
        <v/>
      </c>
      <c r="T240" s="27">
        <f>IF(G240="","",IF(G240&gt;='KPI Benchmarks'!$D$14,"Yes","No"))</f>
        <v/>
      </c>
      <c r="U240" s="44">
        <f>IF(G240="","",IF(T240="No","Running",IF(AND(N(O240)&gt;='KPI Benchmarks'!$D$5,N(Q240)&gt;='KPI Benchmarks'!$D$6,OR(N(L240)&gt;0,N(K240)&gt;0)),"WINNER",IF(AND(N(O240)&gt;='KPI Benchmarks'!$D$5,N(Q240)&gt;='KPI Benchmarks'!$D$6),"Watch","Cut"))))</f>
        <v/>
      </c>
      <c r="V240" s="27">
        <f>IF(U240="WINNER",IF(N(L240)&gt;0,"Prospecting (ASC / interests)","Retargeting candidate"),IF(U240="Watch","Retest or retargeting","" ))</f>
        <v/>
      </c>
      <c r="W240" s="13" t="n"/>
    </row>
    <row r="241">
      <c r="A241" s="13" t="n"/>
      <c r="B241" s="13" t="n"/>
      <c r="C241" s="13" t="n"/>
      <c r="D241" s="13" t="n"/>
      <c r="E241" s="13" t="n"/>
      <c r="F241" s="13" t="n"/>
      <c r="G241" s="40" t="n"/>
      <c r="H241" s="35" t="n"/>
      <c r="I241" s="40" t="n"/>
      <c r="J241" s="40" t="n"/>
      <c r="K241" s="40" t="n"/>
      <c r="L241" s="40" t="n"/>
      <c r="M241" s="34" t="n"/>
      <c r="N241" s="36">
        <f>IFERROR(H241/G241*1000,"")</f>
        <v/>
      </c>
      <c r="O241" s="41">
        <f>IFERROR(I241/G241,"")</f>
        <v/>
      </c>
      <c r="P241" s="41">
        <f>IFERROR(J241/G241,"")</f>
        <v/>
      </c>
      <c r="Q241" s="42">
        <f>IFERROR(P241/O241,"")</f>
        <v/>
      </c>
      <c r="R241" s="43">
        <f>IFERROR(K241/J241,"")</f>
        <v/>
      </c>
      <c r="S241" s="37">
        <f>IFERROR(M241/H241,"")</f>
        <v/>
      </c>
      <c r="T241" s="27">
        <f>IF(G241="","",IF(G241&gt;='KPI Benchmarks'!$D$14,"Yes","No"))</f>
        <v/>
      </c>
      <c r="U241" s="44">
        <f>IF(G241="","",IF(T241="No","Running",IF(AND(N(O241)&gt;='KPI Benchmarks'!$D$5,N(Q241)&gt;='KPI Benchmarks'!$D$6,OR(N(L241)&gt;0,N(K241)&gt;0)),"WINNER",IF(AND(N(O241)&gt;='KPI Benchmarks'!$D$5,N(Q241)&gt;='KPI Benchmarks'!$D$6),"Watch","Cut"))))</f>
        <v/>
      </c>
      <c r="V241" s="27">
        <f>IF(U241="WINNER",IF(N(L241)&gt;0,"Prospecting (ASC / interests)","Retargeting candidate"),IF(U241="Watch","Retest or retargeting","" ))</f>
        <v/>
      </c>
      <c r="W241" s="13" t="n"/>
    </row>
    <row r="242">
      <c r="A242" s="13" t="n"/>
      <c r="B242" s="13" t="n"/>
      <c r="C242" s="13" t="n"/>
      <c r="D242" s="13" t="n"/>
      <c r="E242" s="13" t="n"/>
      <c r="F242" s="13" t="n"/>
      <c r="G242" s="40" t="n"/>
      <c r="H242" s="35" t="n"/>
      <c r="I242" s="40" t="n"/>
      <c r="J242" s="40" t="n"/>
      <c r="K242" s="40" t="n"/>
      <c r="L242" s="40" t="n"/>
      <c r="M242" s="34" t="n"/>
      <c r="N242" s="36">
        <f>IFERROR(H242/G242*1000,"")</f>
        <v/>
      </c>
      <c r="O242" s="41">
        <f>IFERROR(I242/G242,"")</f>
        <v/>
      </c>
      <c r="P242" s="41">
        <f>IFERROR(J242/G242,"")</f>
        <v/>
      </c>
      <c r="Q242" s="42">
        <f>IFERROR(P242/O242,"")</f>
        <v/>
      </c>
      <c r="R242" s="43">
        <f>IFERROR(K242/J242,"")</f>
        <v/>
      </c>
      <c r="S242" s="37">
        <f>IFERROR(M242/H242,"")</f>
        <v/>
      </c>
      <c r="T242" s="27">
        <f>IF(G242="","",IF(G242&gt;='KPI Benchmarks'!$D$14,"Yes","No"))</f>
        <v/>
      </c>
      <c r="U242" s="44">
        <f>IF(G242="","",IF(T242="No","Running",IF(AND(N(O242)&gt;='KPI Benchmarks'!$D$5,N(Q242)&gt;='KPI Benchmarks'!$D$6,OR(N(L242)&gt;0,N(K242)&gt;0)),"WINNER",IF(AND(N(O242)&gt;='KPI Benchmarks'!$D$5,N(Q242)&gt;='KPI Benchmarks'!$D$6),"Watch","Cut"))))</f>
        <v/>
      </c>
      <c r="V242" s="27">
        <f>IF(U242="WINNER",IF(N(L242)&gt;0,"Prospecting (ASC / interests)","Retargeting candidate"),IF(U242="Watch","Retest or retargeting","" ))</f>
        <v/>
      </c>
      <c r="W242" s="13" t="n"/>
    </row>
    <row r="243">
      <c r="A243" s="13" t="n"/>
      <c r="B243" s="13" t="n"/>
      <c r="C243" s="13" t="n"/>
      <c r="D243" s="13" t="n"/>
      <c r="E243" s="13" t="n"/>
      <c r="F243" s="13" t="n"/>
      <c r="G243" s="40" t="n"/>
      <c r="H243" s="35" t="n"/>
      <c r="I243" s="40" t="n"/>
      <c r="J243" s="40" t="n"/>
      <c r="K243" s="40" t="n"/>
      <c r="L243" s="40" t="n"/>
      <c r="M243" s="34" t="n"/>
      <c r="N243" s="36">
        <f>IFERROR(H243/G243*1000,"")</f>
        <v/>
      </c>
      <c r="O243" s="41">
        <f>IFERROR(I243/G243,"")</f>
        <v/>
      </c>
      <c r="P243" s="41">
        <f>IFERROR(J243/G243,"")</f>
        <v/>
      </c>
      <c r="Q243" s="42">
        <f>IFERROR(P243/O243,"")</f>
        <v/>
      </c>
      <c r="R243" s="43">
        <f>IFERROR(K243/J243,"")</f>
        <v/>
      </c>
      <c r="S243" s="37">
        <f>IFERROR(M243/H243,"")</f>
        <v/>
      </c>
      <c r="T243" s="27">
        <f>IF(G243="","",IF(G243&gt;='KPI Benchmarks'!$D$14,"Yes","No"))</f>
        <v/>
      </c>
      <c r="U243" s="44">
        <f>IF(G243="","",IF(T243="No","Running",IF(AND(N(O243)&gt;='KPI Benchmarks'!$D$5,N(Q243)&gt;='KPI Benchmarks'!$D$6,OR(N(L243)&gt;0,N(K243)&gt;0)),"WINNER",IF(AND(N(O243)&gt;='KPI Benchmarks'!$D$5,N(Q243)&gt;='KPI Benchmarks'!$D$6),"Watch","Cut"))))</f>
        <v/>
      </c>
      <c r="V243" s="27">
        <f>IF(U243="WINNER",IF(N(L243)&gt;0,"Prospecting (ASC / interests)","Retargeting candidate"),IF(U243="Watch","Retest or retargeting","" ))</f>
        <v/>
      </c>
      <c r="W243" s="13" t="n"/>
    </row>
    <row r="244">
      <c r="A244" s="13" t="n"/>
      <c r="B244" s="13" t="n"/>
      <c r="C244" s="13" t="n"/>
      <c r="D244" s="13" t="n"/>
      <c r="E244" s="13" t="n"/>
      <c r="F244" s="13" t="n"/>
      <c r="G244" s="40" t="n"/>
      <c r="H244" s="35" t="n"/>
      <c r="I244" s="40" t="n"/>
      <c r="J244" s="40" t="n"/>
      <c r="K244" s="40" t="n"/>
      <c r="L244" s="40" t="n"/>
      <c r="M244" s="34" t="n"/>
      <c r="N244" s="36">
        <f>IFERROR(H244/G244*1000,"")</f>
        <v/>
      </c>
      <c r="O244" s="41">
        <f>IFERROR(I244/G244,"")</f>
        <v/>
      </c>
      <c r="P244" s="41">
        <f>IFERROR(J244/G244,"")</f>
        <v/>
      </c>
      <c r="Q244" s="42">
        <f>IFERROR(P244/O244,"")</f>
        <v/>
      </c>
      <c r="R244" s="43">
        <f>IFERROR(K244/J244,"")</f>
        <v/>
      </c>
      <c r="S244" s="37">
        <f>IFERROR(M244/H244,"")</f>
        <v/>
      </c>
      <c r="T244" s="27">
        <f>IF(G244="","",IF(G244&gt;='KPI Benchmarks'!$D$14,"Yes","No"))</f>
        <v/>
      </c>
      <c r="U244" s="44">
        <f>IF(G244="","",IF(T244="No","Running",IF(AND(N(O244)&gt;='KPI Benchmarks'!$D$5,N(Q244)&gt;='KPI Benchmarks'!$D$6,OR(N(L244)&gt;0,N(K244)&gt;0)),"WINNER",IF(AND(N(O244)&gt;='KPI Benchmarks'!$D$5,N(Q244)&gt;='KPI Benchmarks'!$D$6),"Watch","Cut"))))</f>
        <v/>
      </c>
      <c r="V244" s="27">
        <f>IF(U244="WINNER",IF(N(L244)&gt;0,"Prospecting (ASC / interests)","Retargeting candidate"),IF(U244="Watch","Retest or retargeting","" ))</f>
        <v/>
      </c>
      <c r="W244" s="13" t="n"/>
    </row>
    <row r="245">
      <c r="A245" s="13" t="n"/>
      <c r="B245" s="13" t="n"/>
      <c r="C245" s="13" t="n"/>
      <c r="D245" s="13" t="n"/>
      <c r="E245" s="13" t="n"/>
      <c r="F245" s="13" t="n"/>
      <c r="G245" s="40" t="n"/>
      <c r="H245" s="35" t="n"/>
      <c r="I245" s="40" t="n"/>
      <c r="J245" s="40" t="n"/>
      <c r="K245" s="40" t="n"/>
      <c r="L245" s="40" t="n"/>
      <c r="M245" s="34" t="n"/>
      <c r="N245" s="36">
        <f>IFERROR(H245/G245*1000,"")</f>
        <v/>
      </c>
      <c r="O245" s="41">
        <f>IFERROR(I245/G245,"")</f>
        <v/>
      </c>
      <c r="P245" s="41">
        <f>IFERROR(J245/G245,"")</f>
        <v/>
      </c>
      <c r="Q245" s="42">
        <f>IFERROR(P245/O245,"")</f>
        <v/>
      </c>
      <c r="R245" s="43">
        <f>IFERROR(K245/J245,"")</f>
        <v/>
      </c>
      <c r="S245" s="37">
        <f>IFERROR(M245/H245,"")</f>
        <v/>
      </c>
      <c r="T245" s="27">
        <f>IF(G245="","",IF(G245&gt;='KPI Benchmarks'!$D$14,"Yes","No"))</f>
        <v/>
      </c>
      <c r="U245" s="44">
        <f>IF(G245="","",IF(T245="No","Running",IF(AND(N(O245)&gt;='KPI Benchmarks'!$D$5,N(Q245)&gt;='KPI Benchmarks'!$D$6,OR(N(L245)&gt;0,N(K245)&gt;0)),"WINNER",IF(AND(N(O245)&gt;='KPI Benchmarks'!$D$5,N(Q245)&gt;='KPI Benchmarks'!$D$6),"Watch","Cut"))))</f>
        <v/>
      </c>
      <c r="V245" s="27">
        <f>IF(U245="WINNER",IF(N(L245)&gt;0,"Prospecting (ASC / interests)","Retargeting candidate"),IF(U245="Watch","Retest or retargeting","" ))</f>
        <v/>
      </c>
      <c r="W245" s="13" t="n"/>
    </row>
    <row r="246">
      <c r="A246" s="13" t="n"/>
      <c r="B246" s="13" t="n"/>
      <c r="C246" s="13" t="n"/>
      <c r="D246" s="13" t="n"/>
      <c r="E246" s="13" t="n"/>
      <c r="F246" s="13" t="n"/>
      <c r="G246" s="40" t="n"/>
      <c r="H246" s="35" t="n"/>
      <c r="I246" s="40" t="n"/>
      <c r="J246" s="40" t="n"/>
      <c r="K246" s="40" t="n"/>
      <c r="L246" s="40" t="n"/>
      <c r="M246" s="34" t="n"/>
      <c r="N246" s="36">
        <f>IFERROR(H246/G246*1000,"")</f>
        <v/>
      </c>
      <c r="O246" s="41">
        <f>IFERROR(I246/G246,"")</f>
        <v/>
      </c>
      <c r="P246" s="41">
        <f>IFERROR(J246/G246,"")</f>
        <v/>
      </c>
      <c r="Q246" s="42">
        <f>IFERROR(P246/O246,"")</f>
        <v/>
      </c>
      <c r="R246" s="43">
        <f>IFERROR(K246/J246,"")</f>
        <v/>
      </c>
      <c r="S246" s="37">
        <f>IFERROR(M246/H246,"")</f>
        <v/>
      </c>
      <c r="T246" s="27">
        <f>IF(G246="","",IF(G246&gt;='KPI Benchmarks'!$D$14,"Yes","No"))</f>
        <v/>
      </c>
      <c r="U246" s="44">
        <f>IF(G246="","",IF(T246="No","Running",IF(AND(N(O246)&gt;='KPI Benchmarks'!$D$5,N(Q246)&gt;='KPI Benchmarks'!$D$6,OR(N(L246)&gt;0,N(K246)&gt;0)),"WINNER",IF(AND(N(O246)&gt;='KPI Benchmarks'!$D$5,N(Q246)&gt;='KPI Benchmarks'!$D$6),"Watch","Cut"))))</f>
        <v/>
      </c>
      <c r="V246" s="27">
        <f>IF(U246="WINNER",IF(N(L246)&gt;0,"Prospecting (ASC / interests)","Retargeting candidate"),IF(U246="Watch","Retest or retargeting","" ))</f>
        <v/>
      </c>
      <c r="W246" s="13" t="n"/>
    </row>
    <row r="247">
      <c r="A247" s="13" t="n"/>
      <c r="B247" s="13" t="n"/>
      <c r="C247" s="13" t="n"/>
      <c r="D247" s="13" t="n"/>
      <c r="E247" s="13" t="n"/>
      <c r="F247" s="13" t="n"/>
      <c r="G247" s="40" t="n"/>
      <c r="H247" s="35" t="n"/>
      <c r="I247" s="40" t="n"/>
      <c r="J247" s="40" t="n"/>
      <c r="K247" s="40" t="n"/>
      <c r="L247" s="40" t="n"/>
      <c r="M247" s="34" t="n"/>
      <c r="N247" s="36">
        <f>IFERROR(H247/G247*1000,"")</f>
        <v/>
      </c>
      <c r="O247" s="41">
        <f>IFERROR(I247/G247,"")</f>
        <v/>
      </c>
      <c r="P247" s="41">
        <f>IFERROR(J247/G247,"")</f>
        <v/>
      </c>
      <c r="Q247" s="42">
        <f>IFERROR(P247/O247,"")</f>
        <v/>
      </c>
      <c r="R247" s="43">
        <f>IFERROR(K247/J247,"")</f>
        <v/>
      </c>
      <c r="S247" s="37">
        <f>IFERROR(M247/H247,"")</f>
        <v/>
      </c>
      <c r="T247" s="27">
        <f>IF(G247="","",IF(G247&gt;='KPI Benchmarks'!$D$14,"Yes","No"))</f>
        <v/>
      </c>
      <c r="U247" s="44">
        <f>IF(G247="","",IF(T247="No","Running",IF(AND(N(O247)&gt;='KPI Benchmarks'!$D$5,N(Q247)&gt;='KPI Benchmarks'!$D$6,OR(N(L247)&gt;0,N(K247)&gt;0)),"WINNER",IF(AND(N(O247)&gt;='KPI Benchmarks'!$D$5,N(Q247)&gt;='KPI Benchmarks'!$D$6),"Watch","Cut"))))</f>
        <v/>
      </c>
      <c r="V247" s="27">
        <f>IF(U247="WINNER",IF(N(L247)&gt;0,"Prospecting (ASC / interests)","Retargeting candidate"),IF(U247="Watch","Retest or retargeting","" ))</f>
        <v/>
      </c>
      <c r="W247" s="13" t="n"/>
    </row>
    <row r="248">
      <c r="A248" s="13" t="n"/>
      <c r="B248" s="13" t="n"/>
      <c r="C248" s="13" t="n"/>
      <c r="D248" s="13" t="n"/>
      <c r="E248" s="13" t="n"/>
      <c r="F248" s="13" t="n"/>
      <c r="G248" s="40" t="n"/>
      <c r="H248" s="35" t="n"/>
      <c r="I248" s="40" t="n"/>
      <c r="J248" s="40" t="n"/>
      <c r="K248" s="40" t="n"/>
      <c r="L248" s="40" t="n"/>
      <c r="M248" s="34" t="n"/>
      <c r="N248" s="36">
        <f>IFERROR(H248/G248*1000,"")</f>
        <v/>
      </c>
      <c r="O248" s="41">
        <f>IFERROR(I248/G248,"")</f>
        <v/>
      </c>
      <c r="P248" s="41">
        <f>IFERROR(J248/G248,"")</f>
        <v/>
      </c>
      <c r="Q248" s="42">
        <f>IFERROR(P248/O248,"")</f>
        <v/>
      </c>
      <c r="R248" s="43">
        <f>IFERROR(K248/J248,"")</f>
        <v/>
      </c>
      <c r="S248" s="37">
        <f>IFERROR(M248/H248,"")</f>
        <v/>
      </c>
      <c r="T248" s="27">
        <f>IF(G248="","",IF(G248&gt;='KPI Benchmarks'!$D$14,"Yes","No"))</f>
        <v/>
      </c>
      <c r="U248" s="44">
        <f>IF(G248="","",IF(T248="No","Running",IF(AND(N(O248)&gt;='KPI Benchmarks'!$D$5,N(Q248)&gt;='KPI Benchmarks'!$D$6,OR(N(L248)&gt;0,N(K248)&gt;0)),"WINNER",IF(AND(N(O248)&gt;='KPI Benchmarks'!$D$5,N(Q248)&gt;='KPI Benchmarks'!$D$6),"Watch","Cut"))))</f>
        <v/>
      </c>
      <c r="V248" s="27">
        <f>IF(U248="WINNER",IF(N(L248)&gt;0,"Prospecting (ASC / interests)","Retargeting candidate"),IF(U248="Watch","Retest or retargeting","" ))</f>
        <v/>
      </c>
      <c r="W248" s="13" t="n"/>
    </row>
    <row r="249">
      <c r="A249" s="13" t="n"/>
      <c r="B249" s="13" t="n"/>
      <c r="C249" s="13" t="n"/>
      <c r="D249" s="13" t="n"/>
      <c r="E249" s="13" t="n"/>
      <c r="F249" s="13" t="n"/>
      <c r="G249" s="40" t="n"/>
      <c r="H249" s="35" t="n"/>
      <c r="I249" s="40" t="n"/>
      <c r="J249" s="40" t="n"/>
      <c r="K249" s="40" t="n"/>
      <c r="L249" s="40" t="n"/>
      <c r="M249" s="34" t="n"/>
      <c r="N249" s="36">
        <f>IFERROR(H249/G249*1000,"")</f>
        <v/>
      </c>
      <c r="O249" s="41">
        <f>IFERROR(I249/G249,"")</f>
        <v/>
      </c>
      <c r="P249" s="41">
        <f>IFERROR(J249/G249,"")</f>
        <v/>
      </c>
      <c r="Q249" s="42">
        <f>IFERROR(P249/O249,"")</f>
        <v/>
      </c>
      <c r="R249" s="43">
        <f>IFERROR(K249/J249,"")</f>
        <v/>
      </c>
      <c r="S249" s="37">
        <f>IFERROR(M249/H249,"")</f>
        <v/>
      </c>
      <c r="T249" s="27">
        <f>IF(G249="","",IF(G249&gt;='KPI Benchmarks'!$D$14,"Yes","No"))</f>
        <v/>
      </c>
      <c r="U249" s="44">
        <f>IF(G249="","",IF(T249="No","Running",IF(AND(N(O249)&gt;='KPI Benchmarks'!$D$5,N(Q249)&gt;='KPI Benchmarks'!$D$6,OR(N(L249)&gt;0,N(K249)&gt;0)),"WINNER",IF(AND(N(O249)&gt;='KPI Benchmarks'!$D$5,N(Q249)&gt;='KPI Benchmarks'!$D$6),"Watch","Cut"))))</f>
        <v/>
      </c>
      <c r="V249" s="27">
        <f>IF(U249="WINNER",IF(N(L249)&gt;0,"Prospecting (ASC / interests)","Retargeting candidate"),IF(U249="Watch","Retest or retargeting","" ))</f>
        <v/>
      </c>
      <c r="W249" s="13" t="n"/>
    </row>
    <row r="250">
      <c r="A250" s="13" t="n"/>
      <c r="B250" s="13" t="n"/>
      <c r="C250" s="13" t="n"/>
      <c r="D250" s="13" t="n"/>
      <c r="E250" s="13" t="n"/>
      <c r="F250" s="13" t="n"/>
      <c r="G250" s="40" t="n"/>
      <c r="H250" s="35" t="n"/>
      <c r="I250" s="40" t="n"/>
      <c r="J250" s="40" t="n"/>
      <c r="K250" s="40" t="n"/>
      <c r="L250" s="40" t="n"/>
      <c r="M250" s="34" t="n"/>
      <c r="N250" s="36">
        <f>IFERROR(H250/G250*1000,"")</f>
        <v/>
      </c>
      <c r="O250" s="41">
        <f>IFERROR(I250/G250,"")</f>
        <v/>
      </c>
      <c r="P250" s="41">
        <f>IFERROR(J250/G250,"")</f>
        <v/>
      </c>
      <c r="Q250" s="42">
        <f>IFERROR(P250/O250,"")</f>
        <v/>
      </c>
      <c r="R250" s="43">
        <f>IFERROR(K250/J250,"")</f>
        <v/>
      </c>
      <c r="S250" s="37">
        <f>IFERROR(M250/H250,"")</f>
        <v/>
      </c>
      <c r="T250" s="27">
        <f>IF(G250="","",IF(G250&gt;='KPI Benchmarks'!$D$14,"Yes","No"))</f>
        <v/>
      </c>
      <c r="U250" s="44">
        <f>IF(G250="","",IF(T250="No","Running",IF(AND(N(O250)&gt;='KPI Benchmarks'!$D$5,N(Q250)&gt;='KPI Benchmarks'!$D$6,OR(N(L250)&gt;0,N(K250)&gt;0)),"WINNER",IF(AND(N(O250)&gt;='KPI Benchmarks'!$D$5,N(Q250)&gt;='KPI Benchmarks'!$D$6),"Watch","Cut"))))</f>
        <v/>
      </c>
      <c r="V250" s="27">
        <f>IF(U250="WINNER",IF(N(L250)&gt;0,"Prospecting (ASC / interests)","Retargeting candidate"),IF(U250="Watch","Retest or retargeting","" ))</f>
        <v/>
      </c>
      <c r="W250" s="13" t="n"/>
    </row>
    <row r="251">
      <c r="A251" s="13" t="n"/>
      <c r="B251" s="13" t="n"/>
      <c r="C251" s="13" t="n"/>
      <c r="D251" s="13" t="n"/>
      <c r="E251" s="13" t="n"/>
      <c r="F251" s="13" t="n"/>
      <c r="G251" s="40" t="n"/>
      <c r="H251" s="35" t="n"/>
      <c r="I251" s="40" t="n"/>
      <c r="J251" s="40" t="n"/>
      <c r="K251" s="40" t="n"/>
      <c r="L251" s="40" t="n"/>
      <c r="M251" s="34" t="n"/>
      <c r="N251" s="36">
        <f>IFERROR(H251/G251*1000,"")</f>
        <v/>
      </c>
      <c r="O251" s="41">
        <f>IFERROR(I251/G251,"")</f>
        <v/>
      </c>
      <c r="P251" s="41">
        <f>IFERROR(J251/G251,"")</f>
        <v/>
      </c>
      <c r="Q251" s="42">
        <f>IFERROR(P251/O251,"")</f>
        <v/>
      </c>
      <c r="R251" s="43">
        <f>IFERROR(K251/J251,"")</f>
        <v/>
      </c>
      <c r="S251" s="37">
        <f>IFERROR(M251/H251,"")</f>
        <v/>
      </c>
      <c r="T251" s="27">
        <f>IF(G251="","",IF(G251&gt;='KPI Benchmarks'!$D$14,"Yes","No"))</f>
        <v/>
      </c>
      <c r="U251" s="44">
        <f>IF(G251="","",IF(T251="No","Running",IF(AND(N(O251)&gt;='KPI Benchmarks'!$D$5,N(Q251)&gt;='KPI Benchmarks'!$D$6,OR(N(L251)&gt;0,N(K251)&gt;0)),"WINNER",IF(AND(N(O251)&gt;='KPI Benchmarks'!$D$5,N(Q251)&gt;='KPI Benchmarks'!$D$6),"Watch","Cut"))))</f>
        <v/>
      </c>
      <c r="V251" s="27">
        <f>IF(U251="WINNER",IF(N(L251)&gt;0,"Prospecting (ASC / interests)","Retargeting candidate"),IF(U251="Watch","Retest or retargeting","" ))</f>
        <v/>
      </c>
      <c r="W251" s="13" t="n"/>
    </row>
    <row r="252">
      <c r="A252" s="13" t="n"/>
      <c r="B252" s="13" t="n"/>
      <c r="C252" s="13" t="n"/>
      <c r="D252" s="13" t="n"/>
      <c r="E252" s="13" t="n"/>
      <c r="F252" s="13" t="n"/>
      <c r="G252" s="40" t="n"/>
      <c r="H252" s="35" t="n"/>
      <c r="I252" s="40" t="n"/>
      <c r="J252" s="40" t="n"/>
      <c r="K252" s="40" t="n"/>
      <c r="L252" s="40" t="n"/>
      <c r="M252" s="34" t="n"/>
      <c r="N252" s="36">
        <f>IFERROR(H252/G252*1000,"")</f>
        <v/>
      </c>
      <c r="O252" s="41">
        <f>IFERROR(I252/G252,"")</f>
        <v/>
      </c>
      <c r="P252" s="41">
        <f>IFERROR(J252/G252,"")</f>
        <v/>
      </c>
      <c r="Q252" s="42">
        <f>IFERROR(P252/O252,"")</f>
        <v/>
      </c>
      <c r="R252" s="43">
        <f>IFERROR(K252/J252,"")</f>
        <v/>
      </c>
      <c r="S252" s="37">
        <f>IFERROR(M252/H252,"")</f>
        <v/>
      </c>
      <c r="T252" s="27">
        <f>IF(G252="","",IF(G252&gt;='KPI Benchmarks'!$D$14,"Yes","No"))</f>
        <v/>
      </c>
      <c r="U252" s="44">
        <f>IF(G252="","",IF(T252="No","Running",IF(AND(N(O252)&gt;='KPI Benchmarks'!$D$5,N(Q252)&gt;='KPI Benchmarks'!$D$6,OR(N(L252)&gt;0,N(K252)&gt;0)),"WINNER",IF(AND(N(O252)&gt;='KPI Benchmarks'!$D$5,N(Q252)&gt;='KPI Benchmarks'!$D$6),"Watch","Cut"))))</f>
        <v/>
      </c>
      <c r="V252" s="27">
        <f>IF(U252="WINNER",IF(N(L252)&gt;0,"Prospecting (ASC / interests)","Retargeting candidate"),IF(U252="Watch","Retest or retargeting","" ))</f>
        <v/>
      </c>
      <c r="W252" s="13" t="n"/>
    </row>
    <row r="253">
      <c r="A253" s="13" t="n"/>
      <c r="B253" s="13" t="n"/>
      <c r="C253" s="13" t="n"/>
      <c r="D253" s="13" t="n"/>
      <c r="E253" s="13" t="n"/>
      <c r="F253" s="13" t="n"/>
      <c r="G253" s="40" t="n"/>
      <c r="H253" s="35" t="n"/>
      <c r="I253" s="40" t="n"/>
      <c r="J253" s="40" t="n"/>
      <c r="K253" s="40" t="n"/>
      <c r="L253" s="40" t="n"/>
      <c r="M253" s="34" t="n"/>
      <c r="N253" s="36">
        <f>IFERROR(H253/G253*1000,"")</f>
        <v/>
      </c>
      <c r="O253" s="41">
        <f>IFERROR(I253/G253,"")</f>
        <v/>
      </c>
      <c r="P253" s="41">
        <f>IFERROR(J253/G253,"")</f>
        <v/>
      </c>
      <c r="Q253" s="42">
        <f>IFERROR(P253/O253,"")</f>
        <v/>
      </c>
      <c r="R253" s="43">
        <f>IFERROR(K253/J253,"")</f>
        <v/>
      </c>
      <c r="S253" s="37">
        <f>IFERROR(M253/H253,"")</f>
        <v/>
      </c>
      <c r="T253" s="27">
        <f>IF(G253="","",IF(G253&gt;='KPI Benchmarks'!$D$14,"Yes","No"))</f>
        <v/>
      </c>
      <c r="U253" s="44">
        <f>IF(G253="","",IF(T253="No","Running",IF(AND(N(O253)&gt;='KPI Benchmarks'!$D$5,N(Q253)&gt;='KPI Benchmarks'!$D$6,OR(N(L253)&gt;0,N(K253)&gt;0)),"WINNER",IF(AND(N(O253)&gt;='KPI Benchmarks'!$D$5,N(Q253)&gt;='KPI Benchmarks'!$D$6),"Watch","Cut"))))</f>
        <v/>
      </c>
      <c r="V253" s="27">
        <f>IF(U253="WINNER",IF(N(L253)&gt;0,"Prospecting (ASC / interests)","Retargeting candidate"),IF(U253="Watch","Retest or retargeting","" ))</f>
        <v/>
      </c>
      <c r="W253" s="13" t="n"/>
    </row>
    <row r="254">
      <c r="A254" s="13" t="n"/>
      <c r="B254" s="13" t="n"/>
      <c r="C254" s="13" t="n"/>
      <c r="D254" s="13" t="n"/>
      <c r="E254" s="13" t="n"/>
      <c r="F254" s="13" t="n"/>
      <c r="G254" s="40" t="n"/>
      <c r="H254" s="35" t="n"/>
      <c r="I254" s="40" t="n"/>
      <c r="J254" s="40" t="n"/>
      <c r="K254" s="40" t="n"/>
      <c r="L254" s="40" t="n"/>
      <c r="M254" s="34" t="n"/>
      <c r="N254" s="36">
        <f>IFERROR(H254/G254*1000,"")</f>
        <v/>
      </c>
      <c r="O254" s="41">
        <f>IFERROR(I254/G254,"")</f>
        <v/>
      </c>
      <c r="P254" s="41">
        <f>IFERROR(J254/G254,"")</f>
        <v/>
      </c>
      <c r="Q254" s="42">
        <f>IFERROR(P254/O254,"")</f>
        <v/>
      </c>
      <c r="R254" s="43">
        <f>IFERROR(K254/J254,"")</f>
        <v/>
      </c>
      <c r="S254" s="37">
        <f>IFERROR(M254/H254,"")</f>
        <v/>
      </c>
      <c r="T254" s="27">
        <f>IF(G254="","",IF(G254&gt;='KPI Benchmarks'!$D$14,"Yes","No"))</f>
        <v/>
      </c>
      <c r="U254" s="44">
        <f>IF(G254="","",IF(T254="No","Running",IF(AND(N(O254)&gt;='KPI Benchmarks'!$D$5,N(Q254)&gt;='KPI Benchmarks'!$D$6,OR(N(L254)&gt;0,N(K254)&gt;0)),"WINNER",IF(AND(N(O254)&gt;='KPI Benchmarks'!$D$5,N(Q254)&gt;='KPI Benchmarks'!$D$6),"Watch","Cut"))))</f>
        <v/>
      </c>
      <c r="V254" s="27">
        <f>IF(U254="WINNER",IF(N(L254)&gt;0,"Prospecting (ASC / interests)","Retargeting candidate"),IF(U254="Watch","Retest or retargeting","" ))</f>
        <v/>
      </c>
      <c r="W254" s="13" t="n"/>
    </row>
    <row r="255">
      <c r="A255" s="13" t="n"/>
      <c r="B255" s="13" t="n"/>
      <c r="C255" s="13" t="n"/>
      <c r="D255" s="13" t="n"/>
      <c r="E255" s="13" t="n"/>
      <c r="F255" s="13" t="n"/>
      <c r="G255" s="40" t="n"/>
      <c r="H255" s="35" t="n"/>
      <c r="I255" s="40" t="n"/>
      <c r="J255" s="40" t="n"/>
      <c r="K255" s="40" t="n"/>
      <c r="L255" s="40" t="n"/>
      <c r="M255" s="34" t="n"/>
      <c r="N255" s="36">
        <f>IFERROR(H255/G255*1000,"")</f>
        <v/>
      </c>
      <c r="O255" s="41">
        <f>IFERROR(I255/G255,"")</f>
        <v/>
      </c>
      <c r="P255" s="41">
        <f>IFERROR(J255/G255,"")</f>
        <v/>
      </c>
      <c r="Q255" s="42">
        <f>IFERROR(P255/O255,"")</f>
        <v/>
      </c>
      <c r="R255" s="43">
        <f>IFERROR(K255/J255,"")</f>
        <v/>
      </c>
      <c r="S255" s="37">
        <f>IFERROR(M255/H255,"")</f>
        <v/>
      </c>
      <c r="T255" s="27">
        <f>IF(G255="","",IF(G255&gt;='KPI Benchmarks'!$D$14,"Yes","No"))</f>
        <v/>
      </c>
      <c r="U255" s="44">
        <f>IF(G255="","",IF(T255="No","Running",IF(AND(N(O255)&gt;='KPI Benchmarks'!$D$5,N(Q255)&gt;='KPI Benchmarks'!$D$6,OR(N(L255)&gt;0,N(K255)&gt;0)),"WINNER",IF(AND(N(O255)&gt;='KPI Benchmarks'!$D$5,N(Q255)&gt;='KPI Benchmarks'!$D$6),"Watch","Cut"))))</f>
        <v/>
      </c>
      <c r="V255" s="27">
        <f>IF(U255="WINNER",IF(N(L255)&gt;0,"Prospecting (ASC / interests)","Retargeting candidate"),IF(U255="Watch","Retest or retargeting","" ))</f>
        <v/>
      </c>
      <c r="W255" s="13" t="n"/>
    </row>
    <row r="256">
      <c r="A256" s="13" t="n"/>
      <c r="B256" s="13" t="n"/>
      <c r="C256" s="13" t="n"/>
      <c r="D256" s="13" t="n"/>
      <c r="E256" s="13" t="n"/>
      <c r="F256" s="13" t="n"/>
      <c r="G256" s="40" t="n"/>
      <c r="H256" s="35" t="n"/>
      <c r="I256" s="40" t="n"/>
      <c r="J256" s="40" t="n"/>
      <c r="K256" s="40" t="n"/>
      <c r="L256" s="40" t="n"/>
      <c r="M256" s="34" t="n"/>
      <c r="N256" s="36">
        <f>IFERROR(H256/G256*1000,"")</f>
        <v/>
      </c>
      <c r="O256" s="41">
        <f>IFERROR(I256/G256,"")</f>
        <v/>
      </c>
      <c r="P256" s="41">
        <f>IFERROR(J256/G256,"")</f>
        <v/>
      </c>
      <c r="Q256" s="42">
        <f>IFERROR(P256/O256,"")</f>
        <v/>
      </c>
      <c r="R256" s="43">
        <f>IFERROR(K256/J256,"")</f>
        <v/>
      </c>
      <c r="S256" s="37">
        <f>IFERROR(M256/H256,"")</f>
        <v/>
      </c>
      <c r="T256" s="27">
        <f>IF(G256="","",IF(G256&gt;='KPI Benchmarks'!$D$14,"Yes","No"))</f>
        <v/>
      </c>
      <c r="U256" s="44">
        <f>IF(G256="","",IF(T256="No","Running",IF(AND(N(O256)&gt;='KPI Benchmarks'!$D$5,N(Q256)&gt;='KPI Benchmarks'!$D$6,OR(N(L256)&gt;0,N(K256)&gt;0)),"WINNER",IF(AND(N(O256)&gt;='KPI Benchmarks'!$D$5,N(Q256)&gt;='KPI Benchmarks'!$D$6),"Watch","Cut"))))</f>
        <v/>
      </c>
      <c r="V256" s="27">
        <f>IF(U256="WINNER",IF(N(L256)&gt;0,"Prospecting (ASC / interests)","Retargeting candidate"),IF(U256="Watch","Retest or retargeting","" ))</f>
        <v/>
      </c>
      <c r="W256" s="13" t="n"/>
    </row>
    <row r="257">
      <c r="A257" s="13" t="n"/>
      <c r="B257" s="13" t="n"/>
      <c r="C257" s="13" t="n"/>
      <c r="D257" s="13" t="n"/>
      <c r="E257" s="13" t="n"/>
      <c r="F257" s="13" t="n"/>
      <c r="G257" s="40" t="n"/>
      <c r="H257" s="35" t="n"/>
      <c r="I257" s="40" t="n"/>
      <c r="J257" s="40" t="n"/>
      <c r="K257" s="40" t="n"/>
      <c r="L257" s="40" t="n"/>
      <c r="M257" s="34" t="n"/>
      <c r="N257" s="36">
        <f>IFERROR(H257/G257*1000,"")</f>
        <v/>
      </c>
      <c r="O257" s="41">
        <f>IFERROR(I257/G257,"")</f>
        <v/>
      </c>
      <c r="P257" s="41">
        <f>IFERROR(J257/G257,"")</f>
        <v/>
      </c>
      <c r="Q257" s="42">
        <f>IFERROR(P257/O257,"")</f>
        <v/>
      </c>
      <c r="R257" s="43">
        <f>IFERROR(K257/J257,"")</f>
        <v/>
      </c>
      <c r="S257" s="37">
        <f>IFERROR(M257/H257,"")</f>
        <v/>
      </c>
      <c r="T257" s="27">
        <f>IF(G257="","",IF(G257&gt;='KPI Benchmarks'!$D$14,"Yes","No"))</f>
        <v/>
      </c>
      <c r="U257" s="44">
        <f>IF(G257="","",IF(T257="No","Running",IF(AND(N(O257)&gt;='KPI Benchmarks'!$D$5,N(Q257)&gt;='KPI Benchmarks'!$D$6,OR(N(L257)&gt;0,N(K257)&gt;0)),"WINNER",IF(AND(N(O257)&gt;='KPI Benchmarks'!$D$5,N(Q257)&gt;='KPI Benchmarks'!$D$6),"Watch","Cut"))))</f>
        <v/>
      </c>
      <c r="V257" s="27">
        <f>IF(U257="WINNER",IF(N(L257)&gt;0,"Prospecting (ASC / interests)","Retargeting candidate"),IF(U257="Watch","Retest or retargeting","" ))</f>
        <v/>
      </c>
      <c r="W257" s="13" t="n"/>
    </row>
    <row r="258">
      <c r="A258" s="13" t="n"/>
      <c r="B258" s="13" t="n"/>
      <c r="C258" s="13" t="n"/>
      <c r="D258" s="13" t="n"/>
      <c r="E258" s="13" t="n"/>
      <c r="F258" s="13" t="n"/>
      <c r="G258" s="40" t="n"/>
      <c r="H258" s="35" t="n"/>
      <c r="I258" s="40" t="n"/>
      <c r="J258" s="40" t="n"/>
      <c r="K258" s="40" t="n"/>
      <c r="L258" s="40" t="n"/>
      <c r="M258" s="34" t="n"/>
      <c r="N258" s="36">
        <f>IFERROR(H258/G258*1000,"")</f>
        <v/>
      </c>
      <c r="O258" s="41">
        <f>IFERROR(I258/G258,"")</f>
        <v/>
      </c>
      <c r="P258" s="41">
        <f>IFERROR(J258/G258,"")</f>
        <v/>
      </c>
      <c r="Q258" s="42">
        <f>IFERROR(P258/O258,"")</f>
        <v/>
      </c>
      <c r="R258" s="43">
        <f>IFERROR(K258/J258,"")</f>
        <v/>
      </c>
      <c r="S258" s="37">
        <f>IFERROR(M258/H258,"")</f>
        <v/>
      </c>
      <c r="T258" s="27">
        <f>IF(G258="","",IF(G258&gt;='KPI Benchmarks'!$D$14,"Yes","No"))</f>
        <v/>
      </c>
      <c r="U258" s="44">
        <f>IF(G258="","",IF(T258="No","Running",IF(AND(N(O258)&gt;='KPI Benchmarks'!$D$5,N(Q258)&gt;='KPI Benchmarks'!$D$6,OR(N(L258)&gt;0,N(K258)&gt;0)),"WINNER",IF(AND(N(O258)&gt;='KPI Benchmarks'!$D$5,N(Q258)&gt;='KPI Benchmarks'!$D$6),"Watch","Cut"))))</f>
        <v/>
      </c>
      <c r="V258" s="27">
        <f>IF(U258="WINNER",IF(N(L258)&gt;0,"Prospecting (ASC / interests)","Retargeting candidate"),IF(U258="Watch","Retest or retargeting","" ))</f>
        <v/>
      </c>
      <c r="W258" s="13" t="n"/>
    </row>
    <row r="259">
      <c r="A259" s="13" t="n"/>
      <c r="B259" s="13" t="n"/>
      <c r="C259" s="13" t="n"/>
      <c r="D259" s="13" t="n"/>
      <c r="E259" s="13" t="n"/>
      <c r="F259" s="13" t="n"/>
      <c r="G259" s="40" t="n"/>
      <c r="H259" s="35" t="n"/>
      <c r="I259" s="40" t="n"/>
      <c r="J259" s="40" t="n"/>
      <c r="K259" s="40" t="n"/>
      <c r="L259" s="40" t="n"/>
      <c r="M259" s="34" t="n"/>
      <c r="N259" s="36">
        <f>IFERROR(H259/G259*1000,"")</f>
        <v/>
      </c>
      <c r="O259" s="41">
        <f>IFERROR(I259/G259,"")</f>
        <v/>
      </c>
      <c r="P259" s="41">
        <f>IFERROR(J259/G259,"")</f>
        <v/>
      </c>
      <c r="Q259" s="42">
        <f>IFERROR(P259/O259,"")</f>
        <v/>
      </c>
      <c r="R259" s="43">
        <f>IFERROR(K259/J259,"")</f>
        <v/>
      </c>
      <c r="S259" s="37">
        <f>IFERROR(M259/H259,"")</f>
        <v/>
      </c>
      <c r="T259" s="27">
        <f>IF(G259="","",IF(G259&gt;='KPI Benchmarks'!$D$14,"Yes","No"))</f>
        <v/>
      </c>
      <c r="U259" s="44">
        <f>IF(G259="","",IF(T259="No","Running",IF(AND(N(O259)&gt;='KPI Benchmarks'!$D$5,N(Q259)&gt;='KPI Benchmarks'!$D$6,OR(N(L259)&gt;0,N(K259)&gt;0)),"WINNER",IF(AND(N(O259)&gt;='KPI Benchmarks'!$D$5,N(Q259)&gt;='KPI Benchmarks'!$D$6),"Watch","Cut"))))</f>
        <v/>
      </c>
      <c r="V259" s="27">
        <f>IF(U259="WINNER",IF(N(L259)&gt;0,"Prospecting (ASC / interests)","Retargeting candidate"),IF(U259="Watch","Retest or retargeting","" ))</f>
        <v/>
      </c>
      <c r="W259" s="13" t="n"/>
    </row>
    <row r="260">
      <c r="A260" s="13" t="n"/>
      <c r="B260" s="13" t="n"/>
      <c r="C260" s="13" t="n"/>
      <c r="D260" s="13" t="n"/>
      <c r="E260" s="13" t="n"/>
      <c r="F260" s="13" t="n"/>
      <c r="G260" s="40" t="n"/>
      <c r="H260" s="35" t="n"/>
      <c r="I260" s="40" t="n"/>
      <c r="J260" s="40" t="n"/>
      <c r="K260" s="40" t="n"/>
      <c r="L260" s="40" t="n"/>
      <c r="M260" s="34" t="n"/>
      <c r="N260" s="36">
        <f>IFERROR(H260/G260*1000,"")</f>
        <v/>
      </c>
      <c r="O260" s="41">
        <f>IFERROR(I260/G260,"")</f>
        <v/>
      </c>
      <c r="P260" s="41">
        <f>IFERROR(J260/G260,"")</f>
        <v/>
      </c>
      <c r="Q260" s="42">
        <f>IFERROR(P260/O260,"")</f>
        <v/>
      </c>
      <c r="R260" s="43">
        <f>IFERROR(K260/J260,"")</f>
        <v/>
      </c>
      <c r="S260" s="37">
        <f>IFERROR(M260/H260,"")</f>
        <v/>
      </c>
      <c r="T260" s="27">
        <f>IF(G260="","",IF(G260&gt;='KPI Benchmarks'!$D$14,"Yes","No"))</f>
        <v/>
      </c>
      <c r="U260" s="44">
        <f>IF(G260="","",IF(T260="No","Running",IF(AND(N(O260)&gt;='KPI Benchmarks'!$D$5,N(Q260)&gt;='KPI Benchmarks'!$D$6,OR(N(L260)&gt;0,N(K260)&gt;0)),"WINNER",IF(AND(N(O260)&gt;='KPI Benchmarks'!$D$5,N(Q260)&gt;='KPI Benchmarks'!$D$6),"Watch","Cut"))))</f>
        <v/>
      </c>
      <c r="V260" s="27">
        <f>IF(U260="WINNER",IF(N(L260)&gt;0,"Prospecting (ASC / interests)","Retargeting candidate"),IF(U260="Watch","Retest or retargeting","" ))</f>
        <v/>
      </c>
      <c r="W260" s="13" t="n"/>
    </row>
    <row r="261">
      <c r="A261" s="13" t="n"/>
      <c r="B261" s="13" t="n"/>
      <c r="C261" s="13" t="n"/>
      <c r="D261" s="13" t="n"/>
      <c r="E261" s="13" t="n"/>
      <c r="F261" s="13" t="n"/>
      <c r="G261" s="40" t="n"/>
      <c r="H261" s="35" t="n"/>
      <c r="I261" s="40" t="n"/>
      <c r="J261" s="40" t="n"/>
      <c r="K261" s="40" t="n"/>
      <c r="L261" s="40" t="n"/>
      <c r="M261" s="34" t="n"/>
      <c r="N261" s="36">
        <f>IFERROR(H261/G261*1000,"")</f>
        <v/>
      </c>
      <c r="O261" s="41">
        <f>IFERROR(I261/G261,"")</f>
        <v/>
      </c>
      <c r="P261" s="41">
        <f>IFERROR(J261/G261,"")</f>
        <v/>
      </c>
      <c r="Q261" s="42">
        <f>IFERROR(P261/O261,"")</f>
        <v/>
      </c>
      <c r="R261" s="43">
        <f>IFERROR(K261/J261,"")</f>
        <v/>
      </c>
      <c r="S261" s="37">
        <f>IFERROR(M261/H261,"")</f>
        <v/>
      </c>
      <c r="T261" s="27">
        <f>IF(G261="","",IF(G261&gt;='KPI Benchmarks'!$D$14,"Yes","No"))</f>
        <v/>
      </c>
      <c r="U261" s="44">
        <f>IF(G261="","",IF(T261="No","Running",IF(AND(N(O261)&gt;='KPI Benchmarks'!$D$5,N(Q261)&gt;='KPI Benchmarks'!$D$6,OR(N(L261)&gt;0,N(K261)&gt;0)),"WINNER",IF(AND(N(O261)&gt;='KPI Benchmarks'!$D$5,N(Q261)&gt;='KPI Benchmarks'!$D$6),"Watch","Cut"))))</f>
        <v/>
      </c>
      <c r="V261" s="27">
        <f>IF(U261="WINNER",IF(N(L261)&gt;0,"Prospecting (ASC / interests)","Retargeting candidate"),IF(U261="Watch","Retest or retargeting","" ))</f>
        <v/>
      </c>
      <c r="W261" s="13" t="n"/>
    </row>
    <row r="262">
      <c r="A262" s="13" t="n"/>
      <c r="B262" s="13" t="n"/>
      <c r="C262" s="13" t="n"/>
      <c r="D262" s="13" t="n"/>
      <c r="E262" s="13" t="n"/>
      <c r="F262" s="13" t="n"/>
      <c r="G262" s="40" t="n"/>
      <c r="H262" s="35" t="n"/>
      <c r="I262" s="40" t="n"/>
      <c r="J262" s="40" t="n"/>
      <c r="K262" s="40" t="n"/>
      <c r="L262" s="40" t="n"/>
      <c r="M262" s="34" t="n"/>
      <c r="N262" s="36">
        <f>IFERROR(H262/G262*1000,"")</f>
        <v/>
      </c>
      <c r="O262" s="41">
        <f>IFERROR(I262/G262,"")</f>
        <v/>
      </c>
      <c r="P262" s="41">
        <f>IFERROR(J262/G262,"")</f>
        <v/>
      </c>
      <c r="Q262" s="42">
        <f>IFERROR(P262/O262,"")</f>
        <v/>
      </c>
      <c r="R262" s="43">
        <f>IFERROR(K262/J262,"")</f>
        <v/>
      </c>
      <c r="S262" s="37">
        <f>IFERROR(M262/H262,"")</f>
        <v/>
      </c>
      <c r="T262" s="27">
        <f>IF(G262="","",IF(G262&gt;='KPI Benchmarks'!$D$14,"Yes","No"))</f>
        <v/>
      </c>
      <c r="U262" s="44">
        <f>IF(G262="","",IF(T262="No","Running",IF(AND(N(O262)&gt;='KPI Benchmarks'!$D$5,N(Q262)&gt;='KPI Benchmarks'!$D$6,OR(N(L262)&gt;0,N(K262)&gt;0)),"WINNER",IF(AND(N(O262)&gt;='KPI Benchmarks'!$D$5,N(Q262)&gt;='KPI Benchmarks'!$D$6),"Watch","Cut"))))</f>
        <v/>
      </c>
      <c r="V262" s="27">
        <f>IF(U262="WINNER",IF(N(L262)&gt;0,"Prospecting (ASC / interests)","Retargeting candidate"),IF(U262="Watch","Retest or retargeting","" ))</f>
        <v/>
      </c>
      <c r="W262" s="13" t="n"/>
    </row>
    <row r="263">
      <c r="A263" s="13" t="n"/>
      <c r="B263" s="13" t="n"/>
      <c r="C263" s="13" t="n"/>
      <c r="D263" s="13" t="n"/>
      <c r="E263" s="13" t="n"/>
      <c r="F263" s="13" t="n"/>
      <c r="G263" s="40" t="n"/>
      <c r="H263" s="35" t="n"/>
      <c r="I263" s="40" t="n"/>
      <c r="J263" s="40" t="n"/>
      <c r="K263" s="40" t="n"/>
      <c r="L263" s="40" t="n"/>
      <c r="M263" s="34" t="n"/>
      <c r="N263" s="36">
        <f>IFERROR(H263/G263*1000,"")</f>
        <v/>
      </c>
      <c r="O263" s="41">
        <f>IFERROR(I263/G263,"")</f>
        <v/>
      </c>
      <c r="P263" s="41">
        <f>IFERROR(J263/G263,"")</f>
        <v/>
      </c>
      <c r="Q263" s="42">
        <f>IFERROR(P263/O263,"")</f>
        <v/>
      </c>
      <c r="R263" s="43">
        <f>IFERROR(K263/J263,"")</f>
        <v/>
      </c>
      <c r="S263" s="37">
        <f>IFERROR(M263/H263,"")</f>
        <v/>
      </c>
      <c r="T263" s="27">
        <f>IF(G263="","",IF(G263&gt;='KPI Benchmarks'!$D$14,"Yes","No"))</f>
        <v/>
      </c>
      <c r="U263" s="44">
        <f>IF(G263="","",IF(T263="No","Running",IF(AND(N(O263)&gt;='KPI Benchmarks'!$D$5,N(Q263)&gt;='KPI Benchmarks'!$D$6,OR(N(L263)&gt;0,N(K263)&gt;0)),"WINNER",IF(AND(N(O263)&gt;='KPI Benchmarks'!$D$5,N(Q263)&gt;='KPI Benchmarks'!$D$6),"Watch","Cut"))))</f>
        <v/>
      </c>
      <c r="V263" s="27">
        <f>IF(U263="WINNER",IF(N(L263)&gt;0,"Prospecting (ASC / interests)","Retargeting candidate"),IF(U263="Watch","Retest or retargeting","" ))</f>
        <v/>
      </c>
      <c r="W263" s="13" t="n"/>
    </row>
    <row r="264">
      <c r="A264" s="13" t="n"/>
      <c r="B264" s="13" t="n"/>
      <c r="C264" s="13" t="n"/>
      <c r="D264" s="13" t="n"/>
      <c r="E264" s="13" t="n"/>
      <c r="F264" s="13" t="n"/>
      <c r="G264" s="40" t="n"/>
      <c r="H264" s="35" t="n"/>
      <c r="I264" s="40" t="n"/>
      <c r="J264" s="40" t="n"/>
      <c r="K264" s="40" t="n"/>
      <c r="L264" s="40" t="n"/>
      <c r="M264" s="34" t="n"/>
      <c r="N264" s="36">
        <f>IFERROR(H264/G264*1000,"")</f>
        <v/>
      </c>
      <c r="O264" s="41">
        <f>IFERROR(I264/G264,"")</f>
        <v/>
      </c>
      <c r="P264" s="41">
        <f>IFERROR(J264/G264,"")</f>
        <v/>
      </c>
      <c r="Q264" s="42">
        <f>IFERROR(P264/O264,"")</f>
        <v/>
      </c>
      <c r="R264" s="43">
        <f>IFERROR(K264/J264,"")</f>
        <v/>
      </c>
      <c r="S264" s="37">
        <f>IFERROR(M264/H264,"")</f>
        <v/>
      </c>
      <c r="T264" s="27">
        <f>IF(G264="","",IF(G264&gt;='KPI Benchmarks'!$D$14,"Yes","No"))</f>
        <v/>
      </c>
      <c r="U264" s="44">
        <f>IF(G264="","",IF(T264="No","Running",IF(AND(N(O264)&gt;='KPI Benchmarks'!$D$5,N(Q264)&gt;='KPI Benchmarks'!$D$6,OR(N(L264)&gt;0,N(K264)&gt;0)),"WINNER",IF(AND(N(O264)&gt;='KPI Benchmarks'!$D$5,N(Q264)&gt;='KPI Benchmarks'!$D$6),"Watch","Cut"))))</f>
        <v/>
      </c>
      <c r="V264" s="27">
        <f>IF(U264="WINNER",IF(N(L264)&gt;0,"Prospecting (ASC / interests)","Retargeting candidate"),IF(U264="Watch","Retest or retargeting","" ))</f>
        <v/>
      </c>
      <c r="W264" s="13" t="n"/>
    </row>
    <row r="265">
      <c r="A265" s="13" t="n"/>
      <c r="B265" s="13" t="n"/>
      <c r="C265" s="13" t="n"/>
      <c r="D265" s="13" t="n"/>
      <c r="E265" s="13" t="n"/>
      <c r="F265" s="13" t="n"/>
      <c r="G265" s="40" t="n"/>
      <c r="H265" s="35" t="n"/>
      <c r="I265" s="40" t="n"/>
      <c r="J265" s="40" t="n"/>
      <c r="K265" s="40" t="n"/>
      <c r="L265" s="40" t="n"/>
      <c r="M265" s="34" t="n"/>
      <c r="N265" s="36">
        <f>IFERROR(H265/G265*1000,"")</f>
        <v/>
      </c>
      <c r="O265" s="41">
        <f>IFERROR(I265/G265,"")</f>
        <v/>
      </c>
      <c r="P265" s="41">
        <f>IFERROR(J265/G265,"")</f>
        <v/>
      </c>
      <c r="Q265" s="42">
        <f>IFERROR(P265/O265,"")</f>
        <v/>
      </c>
      <c r="R265" s="43">
        <f>IFERROR(K265/J265,"")</f>
        <v/>
      </c>
      <c r="S265" s="37">
        <f>IFERROR(M265/H265,"")</f>
        <v/>
      </c>
      <c r="T265" s="27">
        <f>IF(G265="","",IF(G265&gt;='KPI Benchmarks'!$D$14,"Yes","No"))</f>
        <v/>
      </c>
      <c r="U265" s="44">
        <f>IF(G265="","",IF(T265="No","Running",IF(AND(N(O265)&gt;='KPI Benchmarks'!$D$5,N(Q265)&gt;='KPI Benchmarks'!$D$6,OR(N(L265)&gt;0,N(K265)&gt;0)),"WINNER",IF(AND(N(O265)&gt;='KPI Benchmarks'!$D$5,N(Q265)&gt;='KPI Benchmarks'!$D$6),"Watch","Cut"))))</f>
        <v/>
      </c>
      <c r="V265" s="27">
        <f>IF(U265="WINNER",IF(N(L265)&gt;0,"Prospecting (ASC / interests)","Retargeting candidate"),IF(U265="Watch","Retest or retargeting","" ))</f>
        <v/>
      </c>
      <c r="W265" s="13" t="n"/>
    </row>
    <row r="266">
      <c r="A266" s="13" t="n"/>
      <c r="B266" s="13" t="n"/>
      <c r="C266" s="13" t="n"/>
      <c r="D266" s="13" t="n"/>
      <c r="E266" s="13" t="n"/>
      <c r="F266" s="13" t="n"/>
      <c r="G266" s="40" t="n"/>
      <c r="H266" s="35" t="n"/>
      <c r="I266" s="40" t="n"/>
      <c r="J266" s="40" t="n"/>
      <c r="K266" s="40" t="n"/>
      <c r="L266" s="40" t="n"/>
      <c r="M266" s="34" t="n"/>
      <c r="N266" s="36">
        <f>IFERROR(H266/G266*1000,"")</f>
        <v/>
      </c>
      <c r="O266" s="41">
        <f>IFERROR(I266/G266,"")</f>
        <v/>
      </c>
      <c r="P266" s="41">
        <f>IFERROR(J266/G266,"")</f>
        <v/>
      </c>
      <c r="Q266" s="42">
        <f>IFERROR(P266/O266,"")</f>
        <v/>
      </c>
      <c r="R266" s="43">
        <f>IFERROR(K266/J266,"")</f>
        <v/>
      </c>
      <c r="S266" s="37">
        <f>IFERROR(M266/H266,"")</f>
        <v/>
      </c>
      <c r="T266" s="27">
        <f>IF(G266="","",IF(G266&gt;='KPI Benchmarks'!$D$14,"Yes","No"))</f>
        <v/>
      </c>
      <c r="U266" s="44">
        <f>IF(G266="","",IF(T266="No","Running",IF(AND(N(O266)&gt;='KPI Benchmarks'!$D$5,N(Q266)&gt;='KPI Benchmarks'!$D$6,OR(N(L266)&gt;0,N(K266)&gt;0)),"WINNER",IF(AND(N(O266)&gt;='KPI Benchmarks'!$D$5,N(Q266)&gt;='KPI Benchmarks'!$D$6),"Watch","Cut"))))</f>
        <v/>
      </c>
      <c r="V266" s="27">
        <f>IF(U266="WINNER",IF(N(L266)&gt;0,"Prospecting (ASC / interests)","Retargeting candidate"),IF(U266="Watch","Retest or retargeting","" ))</f>
        <v/>
      </c>
      <c r="W266" s="13" t="n"/>
    </row>
    <row r="267">
      <c r="A267" s="13" t="n"/>
      <c r="B267" s="13" t="n"/>
      <c r="C267" s="13" t="n"/>
      <c r="D267" s="13" t="n"/>
      <c r="E267" s="13" t="n"/>
      <c r="F267" s="13" t="n"/>
      <c r="G267" s="40" t="n"/>
      <c r="H267" s="35" t="n"/>
      <c r="I267" s="40" t="n"/>
      <c r="J267" s="40" t="n"/>
      <c r="K267" s="40" t="n"/>
      <c r="L267" s="40" t="n"/>
      <c r="M267" s="34" t="n"/>
      <c r="N267" s="36">
        <f>IFERROR(H267/G267*1000,"")</f>
        <v/>
      </c>
      <c r="O267" s="41">
        <f>IFERROR(I267/G267,"")</f>
        <v/>
      </c>
      <c r="P267" s="41">
        <f>IFERROR(J267/G267,"")</f>
        <v/>
      </c>
      <c r="Q267" s="42">
        <f>IFERROR(P267/O267,"")</f>
        <v/>
      </c>
      <c r="R267" s="43">
        <f>IFERROR(K267/J267,"")</f>
        <v/>
      </c>
      <c r="S267" s="37">
        <f>IFERROR(M267/H267,"")</f>
        <v/>
      </c>
      <c r="T267" s="27">
        <f>IF(G267="","",IF(G267&gt;='KPI Benchmarks'!$D$14,"Yes","No"))</f>
        <v/>
      </c>
      <c r="U267" s="44">
        <f>IF(G267="","",IF(T267="No","Running",IF(AND(N(O267)&gt;='KPI Benchmarks'!$D$5,N(Q267)&gt;='KPI Benchmarks'!$D$6,OR(N(L267)&gt;0,N(K267)&gt;0)),"WINNER",IF(AND(N(O267)&gt;='KPI Benchmarks'!$D$5,N(Q267)&gt;='KPI Benchmarks'!$D$6),"Watch","Cut"))))</f>
        <v/>
      </c>
      <c r="V267" s="27">
        <f>IF(U267="WINNER",IF(N(L267)&gt;0,"Prospecting (ASC / interests)","Retargeting candidate"),IF(U267="Watch","Retest or retargeting","" ))</f>
        <v/>
      </c>
      <c r="W267" s="13" t="n"/>
    </row>
    <row r="268">
      <c r="A268" s="13" t="n"/>
      <c r="B268" s="13" t="n"/>
      <c r="C268" s="13" t="n"/>
      <c r="D268" s="13" t="n"/>
      <c r="E268" s="13" t="n"/>
      <c r="F268" s="13" t="n"/>
      <c r="G268" s="40" t="n"/>
      <c r="H268" s="35" t="n"/>
      <c r="I268" s="40" t="n"/>
      <c r="J268" s="40" t="n"/>
      <c r="K268" s="40" t="n"/>
      <c r="L268" s="40" t="n"/>
      <c r="M268" s="34" t="n"/>
      <c r="N268" s="36">
        <f>IFERROR(H268/G268*1000,"")</f>
        <v/>
      </c>
      <c r="O268" s="41">
        <f>IFERROR(I268/G268,"")</f>
        <v/>
      </c>
      <c r="P268" s="41">
        <f>IFERROR(J268/G268,"")</f>
        <v/>
      </c>
      <c r="Q268" s="42">
        <f>IFERROR(P268/O268,"")</f>
        <v/>
      </c>
      <c r="R268" s="43">
        <f>IFERROR(K268/J268,"")</f>
        <v/>
      </c>
      <c r="S268" s="37">
        <f>IFERROR(M268/H268,"")</f>
        <v/>
      </c>
      <c r="T268" s="27">
        <f>IF(G268="","",IF(G268&gt;='KPI Benchmarks'!$D$14,"Yes","No"))</f>
        <v/>
      </c>
      <c r="U268" s="44">
        <f>IF(G268="","",IF(T268="No","Running",IF(AND(N(O268)&gt;='KPI Benchmarks'!$D$5,N(Q268)&gt;='KPI Benchmarks'!$D$6,OR(N(L268)&gt;0,N(K268)&gt;0)),"WINNER",IF(AND(N(O268)&gt;='KPI Benchmarks'!$D$5,N(Q268)&gt;='KPI Benchmarks'!$D$6),"Watch","Cut"))))</f>
        <v/>
      </c>
      <c r="V268" s="27">
        <f>IF(U268="WINNER",IF(N(L268)&gt;0,"Prospecting (ASC / interests)","Retargeting candidate"),IF(U268="Watch","Retest or retargeting","" ))</f>
        <v/>
      </c>
      <c r="W268" s="13" t="n"/>
    </row>
    <row r="269">
      <c r="A269" s="13" t="n"/>
      <c r="B269" s="13" t="n"/>
      <c r="C269" s="13" t="n"/>
      <c r="D269" s="13" t="n"/>
      <c r="E269" s="13" t="n"/>
      <c r="F269" s="13" t="n"/>
      <c r="G269" s="40" t="n"/>
      <c r="H269" s="35" t="n"/>
      <c r="I269" s="40" t="n"/>
      <c r="J269" s="40" t="n"/>
      <c r="K269" s="40" t="n"/>
      <c r="L269" s="40" t="n"/>
      <c r="M269" s="34" t="n"/>
      <c r="N269" s="36">
        <f>IFERROR(H269/G269*1000,"")</f>
        <v/>
      </c>
      <c r="O269" s="41">
        <f>IFERROR(I269/G269,"")</f>
        <v/>
      </c>
      <c r="P269" s="41">
        <f>IFERROR(J269/G269,"")</f>
        <v/>
      </c>
      <c r="Q269" s="42">
        <f>IFERROR(P269/O269,"")</f>
        <v/>
      </c>
      <c r="R269" s="43">
        <f>IFERROR(K269/J269,"")</f>
        <v/>
      </c>
      <c r="S269" s="37">
        <f>IFERROR(M269/H269,"")</f>
        <v/>
      </c>
      <c r="T269" s="27">
        <f>IF(G269="","",IF(G269&gt;='KPI Benchmarks'!$D$14,"Yes","No"))</f>
        <v/>
      </c>
      <c r="U269" s="44">
        <f>IF(G269="","",IF(T269="No","Running",IF(AND(N(O269)&gt;='KPI Benchmarks'!$D$5,N(Q269)&gt;='KPI Benchmarks'!$D$6,OR(N(L269)&gt;0,N(K269)&gt;0)),"WINNER",IF(AND(N(O269)&gt;='KPI Benchmarks'!$D$5,N(Q269)&gt;='KPI Benchmarks'!$D$6),"Watch","Cut"))))</f>
        <v/>
      </c>
      <c r="V269" s="27">
        <f>IF(U269="WINNER",IF(N(L269)&gt;0,"Prospecting (ASC / interests)","Retargeting candidate"),IF(U269="Watch","Retest or retargeting","" ))</f>
        <v/>
      </c>
      <c r="W269" s="13" t="n"/>
    </row>
    <row r="270">
      <c r="A270" s="13" t="n"/>
      <c r="B270" s="13" t="n"/>
      <c r="C270" s="13" t="n"/>
      <c r="D270" s="13" t="n"/>
      <c r="E270" s="13" t="n"/>
      <c r="F270" s="13" t="n"/>
      <c r="G270" s="40" t="n"/>
      <c r="H270" s="35" t="n"/>
      <c r="I270" s="40" t="n"/>
      <c r="J270" s="40" t="n"/>
      <c r="K270" s="40" t="n"/>
      <c r="L270" s="40" t="n"/>
      <c r="M270" s="34" t="n"/>
      <c r="N270" s="36">
        <f>IFERROR(H270/G270*1000,"")</f>
        <v/>
      </c>
      <c r="O270" s="41">
        <f>IFERROR(I270/G270,"")</f>
        <v/>
      </c>
      <c r="P270" s="41">
        <f>IFERROR(J270/G270,"")</f>
        <v/>
      </c>
      <c r="Q270" s="42">
        <f>IFERROR(P270/O270,"")</f>
        <v/>
      </c>
      <c r="R270" s="43">
        <f>IFERROR(K270/J270,"")</f>
        <v/>
      </c>
      <c r="S270" s="37">
        <f>IFERROR(M270/H270,"")</f>
        <v/>
      </c>
      <c r="T270" s="27">
        <f>IF(G270="","",IF(G270&gt;='KPI Benchmarks'!$D$14,"Yes","No"))</f>
        <v/>
      </c>
      <c r="U270" s="44">
        <f>IF(G270="","",IF(T270="No","Running",IF(AND(N(O270)&gt;='KPI Benchmarks'!$D$5,N(Q270)&gt;='KPI Benchmarks'!$D$6,OR(N(L270)&gt;0,N(K270)&gt;0)),"WINNER",IF(AND(N(O270)&gt;='KPI Benchmarks'!$D$5,N(Q270)&gt;='KPI Benchmarks'!$D$6),"Watch","Cut"))))</f>
        <v/>
      </c>
      <c r="V270" s="27">
        <f>IF(U270="WINNER",IF(N(L270)&gt;0,"Prospecting (ASC / interests)","Retargeting candidate"),IF(U270="Watch","Retest or retargeting","" ))</f>
        <v/>
      </c>
      <c r="W270" s="13" t="n"/>
    </row>
    <row r="271">
      <c r="A271" s="13" t="n"/>
      <c r="B271" s="13" t="n"/>
      <c r="C271" s="13" t="n"/>
      <c r="D271" s="13" t="n"/>
      <c r="E271" s="13" t="n"/>
      <c r="F271" s="13" t="n"/>
      <c r="G271" s="40" t="n"/>
      <c r="H271" s="35" t="n"/>
      <c r="I271" s="40" t="n"/>
      <c r="J271" s="40" t="n"/>
      <c r="K271" s="40" t="n"/>
      <c r="L271" s="40" t="n"/>
      <c r="M271" s="34" t="n"/>
      <c r="N271" s="36">
        <f>IFERROR(H271/G271*1000,"")</f>
        <v/>
      </c>
      <c r="O271" s="41">
        <f>IFERROR(I271/G271,"")</f>
        <v/>
      </c>
      <c r="P271" s="41">
        <f>IFERROR(J271/G271,"")</f>
        <v/>
      </c>
      <c r="Q271" s="42">
        <f>IFERROR(P271/O271,"")</f>
        <v/>
      </c>
      <c r="R271" s="43">
        <f>IFERROR(K271/J271,"")</f>
        <v/>
      </c>
      <c r="S271" s="37">
        <f>IFERROR(M271/H271,"")</f>
        <v/>
      </c>
      <c r="T271" s="27">
        <f>IF(G271="","",IF(G271&gt;='KPI Benchmarks'!$D$14,"Yes","No"))</f>
        <v/>
      </c>
      <c r="U271" s="44">
        <f>IF(G271="","",IF(T271="No","Running",IF(AND(N(O271)&gt;='KPI Benchmarks'!$D$5,N(Q271)&gt;='KPI Benchmarks'!$D$6,OR(N(L271)&gt;0,N(K271)&gt;0)),"WINNER",IF(AND(N(O271)&gt;='KPI Benchmarks'!$D$5,N(Q271)&gt;='KPI Benchmarks'!$D$6),"Watch","Cut"))))</f>
        <v/>
      </c>
      <c r="V271" s="27">
        <f>IF(U271="WINNER",IF(N(L271)&gt;0,"Prospecting (ASC / interests)","Retargeting candidate"),IF(U271="Watch","Retest or retargeting","" ))</f>
        <v/>
      </c>
      <c r="W271" s="13" t="n"/>
    </row>
    <row r="272">
      <c r="A272" s="13" t="n"/>
      <c r="B272" s="13" t="n"/>
      <c r="C272" s="13" t="n"/>
      <c r="D272" s="13" t="n"/>
      <c r="E272" s="13" t="n"/>
      <c r="F272" s="13" t="n"/>
      <c r="G272" s="40" t="n"/>
      <c r="H272" s="35" t="n"/>
      <c r="I272" s="40" t="n"/>
      <c r="J272" s="40" t="n"/>
      <c r="K272" s="40" t="n"/>
      <c r="L272" s="40" t="n"/>
      <c r="M272" s="34" t="n"/>
      <c r="N272" s="36">
        <f>IFERROR(H272/G272*1000,"")</f>
        <v/>
      </c>
      <c r="O272" s="41">
        <f>IFERROR(I272/G272,"")</f>
        <v/>
      </c>
      <c r="P272" s="41">
        <f>IFERROR(J272/G272,"")</f>
        <v/>
      </c>
      <c r="Q272" s="42">
        <f>IFERROR(P272/O272,"")</f>
        <v/>
      </c>
      <c r="R272" s="43">
        <f>IFERROR(K272/J272,"")</f>
        <v/>
      </c>
      <c r="S272" s="37">
        <f>IFERROR(M272/H272,"")</f>
        <v/>
      </c>
      <c r="T272" s="27">
        <f>IF(G272="","",IF(G272&gt;='KPI Benchmarks'!$D$14,"Yes","No"))</f>
        <v/>
      </c>
      <c r="U272" s="44">
        <f>IF(G272="","",IF(T272="No","Running",IF(AND(N(O272)&gt;='KPI Benchmarks'!$D$5,N(Q272)&gt;='KPI Benchmarks'!$D$6,OR(N(L272)&gt;0,N(K272)&gt;0)),"WINNER",IF(AND(N(O272)&gt;='KPI Benchmarks'!$D$5,N(Q272)&gt;='KPI Benchmarks'!$D$6),"Watch","Cut"))))</f>
        <v/>
      </c>
      <c r="V272" s="27">
        <f>IF(U272="WINNER",IF(N(L272)&gt;0,"Prospecting (ASC / interests)","Retargeting candidate"),IF(U272="Watch","Retest or retargeting","" ))</f>
        <v/>
      </c>
      <c r="W272" s="13" t="n"/>
    </row>
    <row r="273">
      <c r="A273" s="13" t="n"/>
      <c r="B273" s="13" t="n"/>
      <c r="C273" s="13" t="n"/>
      <c r="D273" s="13" t="n"/>
      <c r="E273" s="13" t="n"/>
      <c r="F273" s="13" t="n"/>
      <c r="G273" s="40" t="n"/>
      <c r="H273" s="35" t="n"/>
      <c r="I273" s="40" t="n"/>
      <c r="J273" s="40" t="n"/>
      <c r="K273" s="40" t="n"/>
      <c r="L273" s="40" t="n"/>
      <c r="M273" s="34" t="n"/>
      <c r="N273" s="36">
        <f>IFERROR(H273/G273*1000,"")</f>
        <v/>
      </c>
      <c r="O273" s="41">
        <f>IFERROR(I273/G273,"")</f>
        <v/>
      </c>
      <c r="P273" s="41">
        <f>IFERROR(J273/G273,"")</f>
        <v/>
      </c>
      <c r="Q273" s="42">
        <f>IFERROR(P273/O273,"")</f>
        <v/>
      </c>
      <c r="R273" s="43">
        <f>IFERROR(K273/J273,"")</f>
        <v/>
      </c>
      <c r="S273" s="37">
        <f>IFERROR(M273/H273,"")</f>
        <v/>
      </c>
      <c r="T273" s="27">
        <f>IF(G273="","",IF(G273&gt;='KPI Benchmarks'!$D$14,"Yes","No"))</f>
        <v/>
      </c>
      <c r="U273" s="44">
        <f>IF(G273="","",IF(T273="No","Running",IF(AND(N(O273)&gt;='KPI Benchmarks'!$D$5,N(Q273)&gt;='KPI Benchmarks'!$D$6,OR(N(L273)&gt;0,N(K273)&gt;0)),"WINNER",IF(AND(N(O273)&gt;='KPI Benchmarks'!$D$5,N(Q273)&gt;='KPI Benchmarks'!$D$6),"Watch","Cut"))))</f>
        <v/>
      </c>
      <c r="V273" s="27">
        <f>IF(U273="WINNER",IF(N(L273)&gt;0,"Prospecting (ASC / interests)","Retargeting candidate"),IF(U273="Watch","Retest or retargeting","" ))</f>
        <v/>
      </c>
      <c r="W273" s="13" t="n"/>
    </row>
    <row r="274">
      <c r="A274" s="13" t="n"/>
      <c r="B274" s="13" t="n"/>
      <c r="C274" s="13" t="n"/>
      <c r="D274" s="13" t="n"/>
      <c r="E274" s="13" t="n"/>
      <c r="F274" s="13" t="n"/>
      <c r="G274" s="40" t="n"/>
      <c r="H274" s="35" t="n"/>
      <c r="I274" s="40" t="n"/>
      <c r="J274" s="40" t="n"/>
      <c r="K274" s="40" t="n"/>
      <c r="L274" s="40" t="n"/>
      <c r="M274" s="34" t="n"/>
      <c r="N274" s="36">
        <f>IFERROR(H274/G274*1000,"")</f>
        <v/>
      </c>
      <c r="O274" s="41">
        <f>IFERROR(I274/G274,"")</f>
        <v/>
      </c>
      <c r="P274" s="41">
        <f>IFERROR(J274/G274,"")</f>
        <v/>
      </c>
      <c r="Q274" s="42">
        <f>IFERROR(P274/O274,"")</f>
        <v/>
      </c>
      <c r="R274" s="43">
        <f>IFERROR(K274/J274,"")</f>
        <v/>
      </c>
      <c r="S274" s="37">
        <f>IFERROR(M274/H274,"")</f>
        <v/>
      </c>
      <c r="T274" s="27">
        <f>IF(G274="","",IF(G274&gt;='KPI Benchmarks'!$D$14,"Yes","No"))</f>
        <v/>
      </c>
      <c r="U274" s="44">
        <f>IF(G274="","",IF(T274="No","Running",IF(AND(N(O274)&gt;='KPI Benchmarks'!$D$5,N(Q274)&gt;='KPI Benchmarks'!$D$6,OR(N(L274)&gt;0,N(K274)&gt;0)),"WINNER",IF(AND(N(O274)&gt;='KPI Benchmarks'!$D$5,N(Q274)&gt;='KPI Benchmarks'!$D$6),"Watch","Cut"))))</f>
        <v/>
      </c>
      <c r="V274" s="27">
        <f>IF(U274="WINNER",IF(N(L274)&gt;0,"Prospecting (ASC / interests)","Retargeting candidate"),IF(U274="Watch","Retest or retargeting","" ))</f>
        <v/>
      </c>
      <c r="W274" s="13" t="n"/>
    </row>
    <row r="275">
      <c r="A275" s="13" t="n"/>
      <c r="B275" s="13" t="n"/>
      <c r="C275" s="13" t="n"/>
      <c r="D275" s="13" t="n"/>
      <c r="E275" s="13" t="n"/>
      <c r="F275" s="13" t="n"/>
      <c r="G275" s="40" t="n"/>
      <c r="H275" s="35" t="n"/>
      <c r="I275" s="40" t="n"/>
      <c r="J275" s="40" t="n"/>
      <c r="K275" s="40" t="n"/>
      <c r="L275" s="40" t="n"/>
      <c r="M275" s="34" t="n"/>
      <c r="N275" s="36">
        <f>IFERROR(H275/G275*1000,"")</f>
        <v/>
      </c>
      <c r="O275" s="41">
        <f>IFERROR(I275/G275,"")</f>
        <v/>
      </c>
      <c r="P275" s="41">
        <f>IFERROR(J275/G275,"")</f>
        <v/>
      </c>
      <c r="Q275" s="42">
        <f>IFERROR(P275/O275,"")</f>
        <v/>
      </c>
      <c r="R275" s="43">
        <f>IFERROR(K275/J275,"")</f>
        <v/>
      </c>
      <c r="S275" s="37">
        <f>IFERROR(M275/H275,"")</f>
        <v/>
      </c>
      <c r="T275" s="27">
        <f>IF(G275="","",IF(G275&gt;='KPI Benchmarks'!$D$14,"Yes","No"))</f>
        <v/>
      </c>
      <c r="U275" s="44">
        <f>IF(G275="","",IF(T275="No","Running",IF(AND(N(O275)&gt;='KPI Benchmarks'!$D$5,N(Q275)&gt;='KPI Benchmarks'!$D$6,OR(N(L275)&gt;0,N(K275)&gt;0)),"WINNER",IF(AND(N(O275)&gt;='KPI Benchmarks'!$D$5,N(Q275)&gt;='KPI Benchmarks'!$D$6),"Watch","Cut"))))</f>
        <v/>
      </c>
      <c r="V275" s="27">
        <f>IF(U275="WINNER",IF(N(L275)&gt;0,"Prospecting (ASC / interests)","Retargeting candidate"),IF(U275="Watch","Retest or retargeting","" ))</f>
        <v/>
      </c>
      <c r="W275" s="13" t="n"/>
    </row>
    <row r="276">
      <c r="A276" s="13" t="n"/>
      <c r="B276" s="13" t="n"/>
      <c r="C276" s="13" t="n"/>
      <c r="D276" s="13" t="n"/>
      <c r="E276" s="13" t="n"/>
      <c r="F276" s="13" t="n"/>
      <c r="G276" s="40" t="n"/>
      <c r="H276" s="35" t="n"/>
      <c r="I276" s="40" t="n"/>
      <c r="J276" s="40" t="n"/>
      <c r="K276" s="40" t="n"/>
      <c r="L276" s="40" t="n"/>
      <c r="M276" s="34" t="n"/>
      <c r="N276" s="36">
        <f>IFERROR(H276/G276*1000,"")</f>
        <v/>
      </c>
      <c r="O276" s="41">
        <f>IFERROR(I276/G276,"")</f>
        <v/>
      </c>
      <c r="P276" s="41">
        <f>IFERROR(J276/G276,"")</f>
        <v/>
      </c>
      <c r="Q276" s="42">
        <f>IFERROR(P276/O276,"")</f>
        <v/>
      </c>
      <c r="R276" s="43">
        <f>IFERROR(K276/J276,"")</f>
        <v/>
      </c>
      <c r="S276" s="37">
        <f>IFERROR(M276/H276,"")</f>
        <v/>
      </c>
      <c r="T276" s="27">
        <f>IF(G276="","",IF(G276&gt;='KPI Benchmarks'!$D$14,"Yes","No"))</f>
        <v/>
      </c>
      <c r="U276" s="44">
        <f>IF(G276="","",IF(T276="No","Running",IF(AND(N(O276)&gt;='KPI Benchmarks'!$D$5,N(Q276)&gt;='KPI Benchmarks'!$D$6,OR(N(L276)&gt;0,N(K276)&gt;0)),"WINNER",IF(AND(N(O276)&gt;='KPI Benchmarks'!$D$5,N(Q276)&gt;='KPI Benchmarks'!$D$6),"Watch","Cut"))))</f>
        <v/>
      </c>
      <c r="V276" s="27">
        <f>IF(U276="WINNER",IF(N(L276)&gt;0,"Prospecting (ASC / interests)","Retargeting candidate"),IF(U276="Watch","Retest or retargeting","" ))</f>
        <v/>
      </c>
      <c r="W276" s="13" t="n"/>
    </row>
    <row r="277">
      <c r="A277" s="13" t="n"/>
      <c r="B277" s="13" t="n"/>
      <c r="C277" s="13" t="n"/>
      <c r="D277" s="13" t="n"/>
      <c r="E277" s="13" t="n"/>
      <c r="F277" s="13" t="n"/>
      <c r="G277" s="40" t="n"/>
      <c r="H277" s="35" t="n"/>
      <c r="I277" s="40" t="n"/>
      <c r="J277" s="40" t="n"/>
      <c r="K277" s="40" t="n"/>
      <c r="L277" s="40" t="n"/>
      <c r="M277" s="34" t="n"/>
      <c r="N277" s="36">
        <f>IFERROR(H277/G277*1000,"")</f>
        <v/>
      </c>
      <c r="O277" s="41">
        <f>IFERROR(I277/G277,"")</f>
        <v/>
      </c>
      <c r="P277" s="41">
        <f>IFERROR(J277/G277,"")</f>
        <v/>
      </c>
      <c r="Q277" s="42">
        <f>IFERROR(P277/O277,"")</f>
        <v/>
      </c>
      <c r="R277" s="43">
        <f>IFERROR(K277/J277,"")</f>
        <v/>
      </c>
      <c r="S277" s="37">
        <f>IFERROR(M277/H277,"")</f>
        <v/>
      </c>
      <c r="T277" s="27">
        <f>IF(G277="","",IF(G277&gt;='KPI Benchmarks'!$D$14,"Yes","No"))</f>
        <v/>
      </c>
      <c r="U277" s="44">
        <f>IF(G277="","",IF(T277="No","Running",IF(AND(N(O277)&gt;='KPI Benchmarks'!$D$5,N(Q277)&gt;='KPI Benchmarks'!$D$6,OR(N(L277)&gt;0,N(K277)&gt;0)),"WINNER",IF(AND(N(O277)&gt;='KPI Benchmarks'!$D$5,N(Q277)&gt;='KPI Benchmarks'!$D$6),"Watch","Cut"))))</f>
        <v/>
      </c>
      <c r="V277" s="27">
        <f>IF(U277="WINNER",IF(N(L277)&gt;0,"Prospecting (ASC / interests)","Retargeting candidate"),IF(U277="Watch","Retest or retargeting","" ))</f>
        <v/>
      </c>
      <c r="W277" s="13" t="n"/>
    </row>
    <row r="278">
      <c r="A278" s="13" t="n"/>
      <c r="B278" s="13" t="n"/>
      <c r="C278" s="13" t="n"/>
      <c r="D278" s="13" t="n"/>
      <c r="E278" s="13" t="n"/>
      <c r="F278" s="13" t="n"/>
      <c r="G278" s="40" t="n"/>
      <c r="H278" s="35" t="n"/>
      <c r="I278" s="40" t="n"/>
      <c r="J278" s="40" t="n"/>
      <c r="K278" s="40" t="n"/>
      <c r="L278" s="40" t="n"/>
      <c r="M278" s="34" t="n"/>
      <c r="N278" s="36">
        <f>IFERROR(H278/G278*1000,"")</f>
        <v/>
      </c>
      <c r="O278" s="41">
        <f>IFERROR(I278/G278,"")</f>
        <v/>
      </c>
      <c r="P278" s="41">
        <f>IFERROR(J278/G278,"")</f>
        <v/>
      </c>
      <c r="Q278" s="42">
        <f>IFERROR(P278/O278,"")</f>
        <v/>
      </c>
      <c r="R278" s="43">
        <f>IFERROR(K278/J278,"")</f>
        <v/>
      </c>
      <c r="S278" s="37">
        <f>IFERROR(M278/H278,"")</f>
        <v/>
      </c>
      <c r="T278" s="27">
        <f>IF(G278="","",IF(G278&gt;='KPI Benchmarks'!$D$14,"Yes","No"))</f>
        <v/>
      </c>
      <c r="U278" s="44">
        <f>IF(G278="","",IF(T278="No","Running",IF(AND(N(O278)&gt;='KPI Benchmarks'!$D$5,N(Q278)&gt;='KPI Benchmarks'!$D$6,OR(N(L278)&gt;0,N(K278)&gt;0)),"WINNER",IF(AND(N(O278)&gt;='KPI Benchmarks'!$D$5,N(Q278)&gt;='KPI Benchmarks'!$D$6),"Watch","Cut"))))</f>
        <v/>
      </c>
      <c r="V278" s="27">
        <f>IF(U278="WINNER",IF(N(L278)&gt;0,"Prospecting (ASC / interests)","Retargeting candidate"),IF(U278="Watch","Retest or retargeting","" ))</f>
        <v/>
      </c>
      <c r="W278" s="13" t="n"/>
    </row>
    <row r="279">
      <c r="A279" s="13" t="n"/>
      <c r="B279" s="13" t="n"/>
      <c r="C279" s="13" t="n"/>
      <c r="D279" s="13" t="n"/>
      <c r="E279" s="13" t="n"/>
      <c r="F279" s="13" t="n"/>
      <c r="G279" s="40" t="n"/>
      <c r="H279" s="35" t="n"/>
      <c r="I279" s="40" t="n"/>
      <c r="J279" s="40" t="n"/>
      <c r="K279" s="40" t="n"/>
      <c r="L279" s="40" t="n"/>
      <c r="M279" s="34" t="n"/>
      <c r="N279" s="36">
        <f>IFERROR(H279/G279*1000,"")</f>
        <v/>
      </c>
      <c r="O279" s="41">
        <f>IFERROR(I279/G279,"")</f>
        <v/>
      </c>
      <c r="P279" s="41">
        <f>IFERROR(J279/G279,"")</f>
        <v/>
      </c>
      <c r="Q279" s="42">
        <f>IFERROR(P279/O279,"")</f>
        <v/>
      </c>
      <c r="R279" s="43">
        <f>IFERROR(K279/J279,"")</f>
        <v/>
      </c>
      <c r="S279" s="37">
        <f>IFERROR(M279/H279,"")</f>
        <v/>
      </c>
      <c r="T279" s="27">
        <f>IF(G279="","",IF(G279&gt;='KPI Benchmarks'!$D$14,"Yes","No"))</f>
        <v/>
      </c>
      <c r="U279" s="44">
        <f>IF(G279="","",IF(T279="No","Running",IF(AND(N(O279)&gt;='KPI Benchmarks'!$D$5,N(Q279)&gt;='KPI Benchmarks'!$D$6,OR(N(L279)&gt;0,N(K279)&gt;0)),"WINNER",IF(AND(N(O279)&gt;='KPI Benchmarks'!$D$5,N(Q279)&gt;='KPI Benchmarks'!$D$6),"Watch","Cut"))))</f>
        <v/>
      </c>
      <c r="V279" s="27">
        <f>IF(U279="WINNER",IF(N(L279)&gt;0,"Prospecting (ASC / interests)","Retargeting candidate"),IF(U279="Watch","Retest or retargeting","" ))</f>
        <v/>
      </c>
      <c r="W279" s="13" t="n"/>
    </row>
    <row r="280">
      <c r="A280" s="13" t="n"/>
      <c r="B280" s="13" t="n"/>
      <c r="C280" s="13" t="n"/>
      <c r="D280" s="13" t="n"/>
      <c r="E280" s="13" t="n"/>
      <c r="F280" s="13" t="n"/>
      <c r="G280" s="40" t="n"/>
      <c r="H280" s="35" t="n"/>
      <c r="I280" s="40" t="n"/>
      <c r="J280" s="40" t="n"/>
      <c r="K280" s="40" t="n"/>
      <c r="L280" s="40" t="n"/>
      <c r="M280" s="34" t="n"/>
      <c r="N280" s="36">
        <f>IFERROR(H280/G280*1000,"")</f>
        <v/>
      </c>
      <c r="O280" s="41">
        <f>IFERROR(I280/G280,"")</f>
        <v/>
      </c>
      <c r="P280" s="41">
        <f>IFERROR(J280/G280,"")</f>
        <v/>
      </c>
      <c r="Q280" s="42">
        <f>IFERROR(P280/O280,"")</f>
        <v/>
      </c>
      <c r="R280" s="43">
        <f>IFERROR(K280/J280,"")</f>
        <v/>
      </c>
      <c r="S280" s="37">
        <f>IFERROR(M280/H280,"")</f>
        <v/>
      </c>
      <c r="T280" s="27">
        <f>IF(G280="","",IF(G280&gt;='KPI Benchmarks'!$D$14,"Yes","No"))</f>
        <v/>
      </c>
      <c r="U280" s="44">
        <f>IF(G280="","",IF(T280="No","Running",IF(AND(N(O280)&gt;='KPI Benchmarks'!$D$5,N(Q280)&gt;='KPI Benchmarks'!$D$6,OR(N(L280)&gt;0,N(K280)&gt;0)),"WINNER",IF(AND(N(O280)&gt;='KPI Benchmarks'!$D$5,N(Q280)&gt;='KPI Benchmarks'!$D$6),"Watch","Cut"))))</f>
        <v/>
      </c>
      <c r="V280" s="27">
        <f>IF(U280="WINNER",IF(N(L280)&gt;0,"Prospecting (ASC / interests)","Retargeting candidate"),IF(U280="Watch","Retest or retargeting","" ))</f>
        <v/>
      </c>
      <c r="W280" s="13" t="n"/>
    </row>
    <row r="281">
      <c r="A281" s="13" t="n"/>
      <c r="B281" s="13" t="n"/>
      <c r="C281" s="13" t="n"/>
      <c r="D281" s="13" t="n"/>
      <c r="E281" s="13" t="n"/>
      <c r="F281" s="13" t="n"/>
      <c r="G281" s="40" t="n"/>
      <c r="H281" s="35" t="n"/>
      <c r="I281" s="40" t="n"/>
      <c r="J281" s="40" t="n"/>
      <c r="K281" s="40" t="n"/>
      <c r="L281" s="40" t="n"/>
      <c r="M281" s="34" t="n"/>
      <c r="N281" s="36">
        <f>IFERROR(H281/G281*1000,"")</f>
        <v/>
      </c>
      <c r="O281" s="41">
        <f>IFERROR(I281/G281,"")</f>
        <v/>
      </c>
      <c r="P281" s="41">
        <f>IFERROR(J281/G281,"")</f>
        <v/>
      </c>
      <c r="Q281" s="42">
        <f>IFERROR(P281/O281,"")</f>
        <v/>
      </c>
      <c r="R281" s="43">
        <f>IFERROR(K281/J281,"")</f>
        <v/>
      </c>
      <c r="S281" s="37">
        <f>IFERROR(M281/H281,"")</f>
        <v/>
      </c>
      <c r="T281" s="27">
        <f>IF(G281="","",IF(G281&gt;='KPI Benchmarks'!$D$14,"Yes","No"))</f>
        <v/>
      </c>
      <c r="U281" s="44">
        <f>IF(G281="","",IF(T281="No","Running",IF(AND(N(O281)&gt;='KPI Benchmarks'!$D$5,N(Q281)&gt;='KPI Benchmarks'!$D$6,OR(N(L281)&gt;0,N(K281)&gt;0)),"WINNER",IF(AND(N(O281)&gt;='KPI Benchmarks'!$D$5,N(Q281)&gt;='KPI Benchmarks'!$D$6),"Watch","Cut"))))</f>
        <v/>
      </c>
      <c r="V281" s="27">
        <f>IF(U281="WINNER",IF(N(L281)&gt;0,"Prospecting (ASC / interests)","Retargeting candidate"),IF(U281="Watch","Retest or retargeting","" ))</f>
        <v/>
      </c>
      <c r="W281" s="13" t="n"/>
    </row>
    <row r="282">
      <c r="A282" s="13" t="n"/>
      <c r="B282" s="13" t="n"/>
      <c r="C282" s="13" t="n"/>
      <c r="D282" s="13" t="n"/>
      <c r="E282" s="13" t="n"/>
      <c r="F282" s="13" t="n"/>
      <c r="G282" s="40" t="n"/>
      <c r="H282" s="35" t="n"/>
      <c r="I282" s="40" t="n"/>
      <c r="J282" s="40" t="n"/>
      <c r="K282" s="40" t="n"/>
      <c r="L282" s="40" t="n"/>
      <c r="M282" s="34" t="n"/>
      <c r="N282" s="36">
        <f>IFERROR(H282/G282*1000,"")</f>
        <v/>
      </c>
      <c r="O282" s="41">
        <f>IFERROR(I282/G282,"")</f>
        <v/>
      </c>
      <c r="P282" s="41">
        <f>IFERROR(J282/G282,"")</f>
        <v/>
      </c>
      <c r="Q282" s="42">
        <f>IFERROR(P282/O282,"")</f>
        <v/>
      </c>
      <c r="R282" s="43">
        <f>IFERROR(K282/J282,"")</f>
        <v/>
      </c>
      <c r="S282" s="37">
        <f>IFERROR(M282/H282,"")</f>
        <v/>
      </c>
      <c r="T282" s="27">
        <f>IF(G282="","",IF(G282&gt;='KPI Benchmarks'!$D$14,"Yes","No"))</f>
        <v/>
      </c>
      <c r="U282" s="44">
        <f>IF(G282="","",IF(T282="No","Running",IF(AND(N(O282)&gt;='KPI Benchmarks'!$D$5,N(Q282)&gt;='KPI Benchmarks'!$D$6,OR(N(L282)&gt;0,N(K282)&gt;0)),"WINNER",IF(AND(N(O282)&gt;='KPI Benchmarks'!$D$5,N(Q282)&gt;='KPI Benchmarks'!$D$6),"Watch","Cut"))))</f>
        <v/>
      </c>
      <c r="V282" s="27">
        <f>IF(U282="WINNER",IF(N(L282)&gt;0,"Prospecting (ASC / interests)","Retargeting candidate"),IF(U282="Watch","Retest or retargeting","" ))</f>
        <v/>
      </c>
      <c r="W282" s="13" t="n"/>
    </row>
    <row r="283">
      <c r="A283" s="13" t="n"/>
      <c r="B283" s="13" t="n"/>
      <c r="C283" s="13" t="n"/>
      <c r="D283" s="13" t="n"/>
      <c r="E283" s="13" t="n"/>
      <c r="F283" s="13" t="n"/>
      <c r="G283" s="40" t="n"/>
      <c r="H283" s="35" t="n"/>
      <c r="I283" s="40" t="n"/>
      <c r="J283" s="40" t="n"/>
      <c r="K283" s="40" t="n"/>
      <c r="L283" s="40" t="n"/>
      <c r="M283" s="34" t="n"/>
      <c r="N283" s="36">
        <f>IFERROR(H283/G283*1000,"")</f>
        <v/>
      </c>
      <c r="O283" s="41">
        <f>IFERROR(I283/G283,"")</f>
        <v/>
      </c>
      <c r="P283" s="41">
        <f>IFERROR(J283/G283,"")</f>
        <v/>
      </c>
      <c r="Q283" s="42">
        <f>IFERROR(P283/O283,"")</f>
        <v/>
      </c>
      <c r="R283" s="43">
        <f>IFERROR(K283/J283,"")</f>
        <v/>
      </c>
      <c r="S283" s="37">
        <f>IFERROR(M283/H283,"")</f>
        <v/>
      </c>
      <c r="T283" s="27">
        <f>IF(G283="","",IF(G283&gt;='KPI Benchmarks'!$D$14,"Yes","No"))</f>
        <v/>
      </c>
      <c r="U283" s="44">
        <f>IF(G283="","",IF(T283="No","Running",IF(AND(N(O283)&gt;='KPI Benchmarks'!$D$5,N(Q283)&gt;='KPI Benchmarks'!$D$6,OR(N(L283)&gt;0,N(K283)&gt;0)),"WINNER",IF(AND(N(O283)&gt;='KPI Benchmarks'!$D$5,N(Q283)&gt;='KPI Benchmarks'!$D$6),"Watch","Cut"))))</f>
        <v/>
      </c>
      <c r="V283" s="27">
        <f>IF(U283="WINNER",IF(N(L283)&gt;0,"Prospecting (ASC / interests)","Retargeting candidate"),IF(U283="Watch","Retest or retargeting","" ))</f>
        <v/>
      </c>
      <c r="W283" s="13" t="n"/>
    </row>
    <row r="284">
      <c r="A284" s="13" t="n"/>
      <c r="B284" s="13" t="n"/>
      <c r="C284" s="13" t="n"/>
      <c r="D284" s="13" t="n"/>
      <c r="E284" s="13" t="n"/>
      <c r="F284" s="13" t="n"/>
      <c r="G284" s="40" t="n"/>
      <c r="H284" s="35" t="n"/>
      <c r="I284" s="40" t="n"/>
      <c r="J284" s="40" t="n"/>
      <c r="K284" s="40" t="n"/>
      <c r="L284" s="40" t="n"/>
      <c r="M284" s="34" t="n"/>
      <c r="N284" s="36">
        <f>IFERROR(H284/G284*1000,"")</f>
        <v/>
      </c>
      <c r="O284" s="41">
        <f>IFERROR(I284/G284,"")</f>
        <v/>
      </c>
      <c r="P284" s="41">
        <f>IFERROR(J284/G284,"")</f>
        <v/>
      </c>
      <c r="Q284" s="42">
        <f>IFERROR(P284/O284,"")</f>
        <v/>
      </c>
      <c r="R284" s="43">
        <f>IFERROR(K284/J284,"")</f>
        <v/>
      </c>
      <c r="S284" s="37">
        <f>IFERROR(M284/H284,"")</f>
        <v/>
      </c>
      <c r="T284" s="27">
        <f>IF(G284="","",IF(G284&gt;='KPI Benchmarks'!$D$14,"Yes","No"))</f>
        <v/>
      </c>
      <c r="U284" s="44">
        <f>IF(G284="","",IF(T284="No","Running",IF(AND(N(O284)&gt;='KPI Benchmarks'!$D$5,N(Q284)&gt;='KPI Benchmarks'!$D$6,OR(N(L284)&gt;0,N(K284)&gt;0)),"WINNER",IF(AND(N(O284)&gt;='KPI Benchmarks'!$D$5,N(Q284)&gt;='KPI Benchmarks'!$D$6),"Watch","Cut"))))</f>
        <v/>
      </c>
      <c r="V284" s="27">
        <f>IF(U284="WINNER",IF(N(L284)&gt;0,"Prospecting (ASC / interests)","Retargeting candidate"),IF(U284="Watch","Retest or retargeting","" ))</f>
        <v/>
      </c>
      <c r="W284" s="13" t="n"/>
    </row>
    <row r="285">
      <c r="A285" s="13" t="n"/>
      <c r="B285" s="13" t="n"/>
      <c r="C285" s="13" t="n"/>
      <c r="D285" s="13" t="n"/>
      <c r="E285" s="13" t="n"/>
      <c r="F285" s="13" t="n"/>
      <c r="G285" s="40" t="n"/>
      <c r="H285" s="35" t="n"/>
      <c r="I285" s="40" t="n"/>
      <c r="J285" s="40" t="n"/>
      <c r="K285" s="40" t="n"/>
      <c r="L285" s="40" t="n"/>
      <c r="M285" s="34" t="n"/>
      <c r="N285" s="36">
        <f>IFERROR(H285/G285*1000,"")</f>
        <v/>
      </c>
      <c r="O285" s="41">
        <f>IFERROR(I285/G285,"")</f>
        <v/>
      </c>
      <c r="P285" s="41">
        <f>IFERROR(J285/G285,"")</f>
        <v/>
      </c>
      <c r="Q285" s="42">
        <f>IFERROR(P285/O285,"")</f>
        <v/>
      </c>
      <c r="R285" s="43">
        <f>IFERROR(K285/J285,"")</f>
        <v/>
      </c>
      <c r="S285" s="37">
        <f>IFERROR(M285/H285,"")</f>
        <v/>
      </c>
      <c r="T285" s="27">
        <f>IF(G285="","",IF(G285&gt;='KPI Benchmarks'!$D$14,"Yes","No"))</f>
        <v/>
      </c>
      <c r="U285" s="44">
        <f>IF(G285="","",IF(T285="No","Running",IF(AND(N(O285)&gt;='KPI Benchmarks'!$D$5,N(Q285)&gt;='KPI Benchmarks'!$D$6,OR(N(L285)&gt;0,N(K285)&gt;0)),"WINNER",IF(AND(N(O285)&gt;='KPI Benchmarks'!$D$5,N(Q285)&gt;='KPI Benchmarks'!$D$6),"Watch","Cut"))))</f>
        <v/>
      </c>
      <c r="V285" s="27">
        <f>IF(U285="WINNER",IF(N(L285)&gt;0,"Prospecting (ASC / interests)","Retargeting candidate"),IF(U285="Watch","Retest or retargeting","" ))</f>
        <v/>
      </c>
      <c r="W285" s="13" t="n"/>
    </row>
    <row r="286">
      <c r="A286" s="13" t="n"/>
      <c r="B286" s="13" t="n"/>
      <c r="C286" s="13" t="n"/>
      <c r="D286" s="13" t="n"/>
      <c r="E286" s="13" t="n"/>
      <c r="F286" s="13" t="n"/>
      <c r="G286" s="40" t="n"/>
      <c r="H286" s="35" t="n"/>
      <c r="I286" s="40" t="n"/>
      <c r="J286" s="40" t="n"/>
      <c r="K286" s="40" t="n"/>
      <c r="L286" s="40" t="n"/>
      <c r="M286" s="34" t="n"/>
      <c r="N286" s="36">
        <f>IFERROR(H286/G286*1000,"")</f>
        <v/>
      </c>
      <c r="O286" s="41">
        <f>IFERROR(I286/G286,"")</f>
        <v/>
      </c>
      <c r="P286" s="41">
        <f>IFERROR(J286/G286,"")</f>
        <v/>
      </c>
      <c r="Q286" s="42">
        <f>IFERROR(P286/O286,"")</f>
        <v/>
      </c>
      <c r="R286" s="43">
        <f>IFERROR(K286/J286,"")</f>
        <v/>
      </c>
      <c r="S286" s="37">
        <f>IFERROR(M286/H286,"")</f>
        <v/>
      </c>
      <c r="T286" s="27">
        <f>IF(G286="","",IF(G286&gt;='KPI Benchmarks'!$D$14,"Yes","No"))</f>
        <v/>
      </c>
      <c r="U286" s="44">
        <f>IF(G286="","",IF(T286="No","Running",IF(AND(N(O286)&gt;='KPI Benchmarks'!$D$5,N(Q286)&gt;='KPI Benchmarks'!$D$6,OR(N(L286)&gt;0,N(K286)&gt;0)),"WINNER",IF(AND(N(O286)&gt;='KPI Benchmarks'!$D$5,N(Q286)&gt;='KPI Benchmarks'!$D$6),"Watch","Cut"))))</f>
        <v/>
      </c>
      <c r="V286" s="27">
        <f>IF(U286="WINNER",IF(N(L286)&gt;0,"Prospecting (ASC / interests)","Retargeting candidate"),IF(U286="Watch","Retest or retargeting","" ))</f>
        <v/>
      </c>
      <c r="W286" s="13" t="n"/>
    </row>
    <row r="287">
      <c r="A287" s="13" t="n"/>
      <c r="B287" s="13" t="n"/>
      <c r="C287" s="13" t="n"/>
      <c r="D287" s="13" t="n"/>
      <c r="E287" s="13" t="n"/>
      <c r="F287" s="13" t="n"/>
      <c r="G287" s="40" t="n"/>
      <c r="H287" s="35" t="n"/>
      <c r="I287" s="40" t="n"/>
      <c r="J287" s="40" t="n"/>
      <c r="K287" s="40" t="n"/>
      <c r="L287" s="40" t="n"/>
      <c r="M287" s="34" t="n"/>
      <c r="N287" s="36">
        <f>IFERROR(H287/G287*1000,"")</f>
        <v/>
      </c>
      <c r="O287" s="41">
        <f>IFERROR(I287/G287,"")</f>
        <v/>
      </c>
      <c r="P287" s="41">
        <f>IFERROR(J287/G287,"")</f>
        <v/>
      </c>
      <c r="Q287" s="42">
        <f>IFERROR(P287/O287,"")</f>
        <v/>
      </c>
      <c r="R287" s="43">
        <f>IFERROR(K287/J287,"")</f>
        <v/>
      </c>
      <c r="S287" s="37">
        <f>IFERROR(M287/H287,"")</f>
        <v/>
      </c>
      <c r="T287" s="27">
        <f>IF(G287="","",IF(G287&gt;='KPI Benchmarks'!$D$14,"Yes","No"))</f>
        <v/>
      </c>
      <c r="U287" s="44">
        <f>IF(G287="","",IF(T287="No","Running",IF(AND(N(O287)&gt;='KPI Benchmarks'!$D$5,N(Q287)&gt;='KPI Benchmarks'!$D$6,OR(N(L287)&gt;0,N(K287)&gt;0)),"WINNER",IF(AND(N(O287)&gt;='KPI Benchmarks'!$D$5,N(Q287)&gt;='KPI Benchmarks'!$D$6),"Watch","Cut"))))</f>
        <v/>
      </c>
      <c r="V287" s="27">
        <f>IF(U287="WINNER",IF(N(L287)&gt;0,"Prospecting (ASC / interests)","Retargeting candidate"),IF(U287="Watch","Retest or retargeting","" ))</f>
        <v/>
      </c>
      <c r="W287" s="13" t="n"/>
    </row>
    <row r="288">
      <c r="A288" s="13" t="n"/>
      <c r="B288" s="13" t="n"/>
      <c r="C288" s="13" t="n"/>
      <c r="D288" s="13" t="n"/>
      <c r="E288" s="13" t="n"/>
      <c r="F288" s="13" t="n"/>
      <c r="G288" s="40" t="n"/>
      <c r="H288" s="35" t="n"/>
      <c r="I288" s="40" t="n"/>
      <c r="J288" s="40" t="n"/>
      <c r="K288" s="40" t="n"/>
      <c r="L288" s="40" t="n"/>
      <c r="M288" s="34" t="n"/>
      <c r="N288" s="36">
        <f>IFERROR(H288/G288*1000,"")</f>
        <v/>
      </c>
      <c r="O288" s="41">
        <f>IFERROR(I288/G288,"")</f>
        <v/>
      </c>
      <c r="P288" s="41">
        <f>IFERROR(J288/G288,"")</f>
        <v/>
      </c>
      <c r="Q288" s="42">
        <f>IFERROR(P288/O288,"")</f>
        <v/>
      </c>
      <c r="R288" s="43">
        <f>IFERROR(K288/J288,"")</f>
        <v/>
      </c>
      <c r="S288" s="37">
        <f>IFERROR(M288/H288,"")</f>
        <v/>
      </c>
      <c r="T288" s="27">
        <f>IF(G288="","",IF(G288&gt;='KPI Benchmarks'!$D$14,"Yes","No"))</f>
        <v/>
      </c>
      <c r="U288" s="44">
        <f>IF(G288="","",IF(T288="No","Running",IF(AND(N(O288)&gt;='KPI Benchmarks'!$D$5,N(Q288)&gt;='KPI Benchmarks'!$D$6,OR(N(L288)&gt;0,N(K288)&gt;0)),"WINNER",IF(AND(N(O288)&gt;='KPI Benchmarks'!$D$5,N(Q288)&gt;='KPI Benchmarks'!$D$6),"Watch","Cut"))))</f>
        <v/>
      </c>
      <c r="V288" s="27">
        <f>IF(U288="WINNER",IF(N(L288)&gt;0,"Prospecting (ASC / interests)","Retargeting candidate"),IF(U288="Watch","Retest or retargeting","" ))</f>
        <v/>
      </c>
      <c r="W288" s="13" t="n"/>
    </row>
    <row r="289">
      <c r="A289" s="13" t="n"/>
      <c r="B289" s="13" t="n"/>
      <c r="C289" s="13" t="n"/>
      <c r="D289" s="13" t="n"/>
      <c r="E289" s="13" t="n"/>
      <c r="F289" s="13" t="n"/>
      <c r="G289" s="40" t="n"/>
      <c r="H289" s="35" t="n"/>
      <c r="I289" s="40" t="n"/>
      <c r="J289" s="40" t="n"/>
      <c r="K289" s="40" t="n"/>
      <c r="L289" s="40" t="n"/>
      <c r="M289" s="34" t="n"/>
      <c r="N289" s="36">
        <f>IFERROR(H289/G289*1000,"")</f>
        <v/>
      </c>
      <c r="O289" s="41">
        <f>IFERROR(I289/G289,"")</f>
        <v/>
      </c>
      <c r="P289" s="41">
        <f>IFERROR(J289/G289,"")</f>
        <v/>
      </c>
      <c r="Q289" s="42">
        <f>IFERROR(P289/O289,"")</f>
        <v/>
      </c>
      <c r="R289" s="43">
        <f>IFERROR(K289/J289,"")</f>
        <v/>
      </c>
      <c r="S289" s="37">
        <f>IFERROR(M289/H289,"")</f>
        <v/>
      </c>
      <c r="T289" s="27">
        <f>IF(G289="","",IF(G289&gt;='KPI Benchmarks'!$D$14,"Yes","No"))</f>
        <v/>
      </c>
      <c r="U289" s="44">
        <f>IF(G289="","",IF(T289="No","Running",IF(AND(N(O289)&gt;='KPI Benchmarks'!$D$5,N(Q289)&gt;='KPI Benchmarks'!$D$6,OR(N(L289)&gt;0,N(K289)&gt;0)),"WINNER",IF(AND(N(O289)&gt;='KPI Benchmarks'!$D$5,N(Q289)&gt;='KPI Benchmarks'!$D$6),"Watch","Cut"))))</f>
        <v/>
      </c>
      <c r="V289" s="27">
        <f>IF(U289="WINNER",IF(N(L289)&gt;0,"Prospecting (ASC / interests)","Retargeting candidate"),IF(U289="Watch","Retest or retargeting","" ))</f>
        <v/>
      </c>
      <c r="W289" s="13" t="n"/>
    </row>
    <row r="290">
      <c r="A290" s="13" t="n"/>
      <c r="B290" s="13" t="n"/>
      <c r="C290" s="13" t="n"/>
      <c r="D290" s="13" t="n"/>
      <c r="E290" s="13" t="n"/>
      <c r="F290" s="13" t="n"/>
      <c r="G290" s="40" t="n"/>
      <c r="H290" s="35" t="n"/>
      <c r="I290" s="40" t="n"/>
      <c r="J290" s="40" t="n"/>
      <c r="K290" s="40" t="n"/>
      <c r="L290" s="40" t="n"/>
      <c r="M290" s="34" t="n"/>
      <c r="N290" s="36">
        <f>IFERROR(H290/G290*1000,"")</f>
        <v/>
      </c>
      <c r="O290" s="41">
        <f>IFERROR(I290/G290,"")</f>
        <v/>
      </c>
      <c r="P290" s="41">
        <f>IFERROR(J290/G290,"")</f>
        <v/>
      </c>
      <c r="Q290" s="42">
        <f>IFERROR(P290/O290,"")</f>
        <v/>
      </c>
      <c r="R290" s="43">
        <f>IFERROR(K290/J290,"")</f>
        <v/>
      </c>
      <c r="S290" s="37">
        <f>IFERROR(M290/H290,"")</f>
        <v/>
      </c>
      <c r="T290" s="27">
        <f>IF(G290="","",IF(G290&gt;='KPI Benchmarks'!$D$14,"Yes","No"))</f>
        <v/>
      </c>
      <c r="U290" s="44">
        <f>IF(G290="","",IF(T290="No","Running",IF(AND(N(O290)&gt;='KPI Benchmarks'!$D$5,N(Q290)&gt;='KPI Benchmarks'!$D$6,OR(N(L290)&gt;0,N(K290)&gt;0)),"WINNER",IF(AND(N(O290)&gt;='KPI Benchmarks'!$D$5,N(Q290)&gt;='KPI Benchmarks'!$D$6),"Watch","Cut"))))</f>
        <v/>
      </c>
      <c r="V290" s="27">
        <f>IF(U290="WINNER",IF(N(L290)&gt;0,"Prospecting (ASC / interests)","Retargeting candidate"),IF(U290="Watch","Retest or retargeting","" ))</f>
        <v/>
      </c>
      <c r="W290" s="13" t="n"/>
    </row>
    <row r="291">
      <c r="A291" s="13" t="n"/>
      <c r="B291" s="13" t="n"/>
      <c r="C291" s="13" t="n"/>
      <c r="D291" s="13" t="n"/>
      <c r="E291" s="13" t="n"/>
      <c r="F291" s="13" t="n"/>
      <c r="G291" s="40" t="n"/>
      <c r="H291" s="35" t="n"/>
      <c r="I291" s="40" t="n"/>
      <c r="J291" s="40" t="n"/>
      <c r="K291" s="40" t="n"/>
      <c r="L291" s="40" t="n"/>
      <c r="M291" s="34" t="n"/>
      <c r="N291" s="36">
        <f>IFERROR(H291/G291*1000,"")</f>
        <v/>
      </c>
      <c r="O291" s="41">
        <f>IFERROR(I291/G291,"")</f>
        <v/>
      </c>
      <c r="P291" s="41">
        <f>IFERROR(J291/G291,"")</f>
        <v/>
      </c>
      <c r="Q291" s="42">
        <f>IFERROR(P291/O291,"")</f>
        <v/>
      </c>
      <c r="R291" s="43">
        <f>IFERROR(K291/J291,"")</f>
        <v/>
      </c>
      <c r="S291" s="37">
        <f>IFERROR(M291/H291,"")</f>
        <v/>
      </c>
      <c r="T291" s="27">
        <f>IF(G291="","",IF(G291&gt;='KPI Benchmarks'!$D$14,"Yes","No"))</f>
        <v/>
      </c>
      <c r="U291" s="44">
        <f>IF(G291="","",IF(T291="No","Running",IF(AND(N(O291)&gt;='KPI Benchmarks'!$D$5,N(Q291)&gt;='KPI Benchmarks'!$D$6,OR(N(L291)&gt;0,N(K291)&gt;0)),"WINNER",IF(AND(N(O291)&gt;='KPI Benchmarks'!$D$5,N(Q291)&gt;='KPI Benchmarks'!$D$6),"Watch","Cut"))))</f>
        <v/>
      </c>
      <c r="V291" s="27">
        <f>IF(U291="WINNER",IF(N(L291)&gt;0,"Prospecting (ASC / interests)","Retargeting candidate"),IF(U291="Watch","Retest or retargeting","" ))</f>
        <v/>
      </c>
      <c r="W291" s="13" t="n"/>
    </row>
    <row r="292">
      <c r="A292" s="13" t="n"/>
      <c r="B292" s="13" t="n"/>
      <c r="C292" s="13" t="n"/>
      <c r="D292" s="13" t="n"/>
      <c r="E292" s="13" t="n"/>
      <c r="F292" s="13" t="n"/>
      <c r="G292" s="40" t="n"/>
      <c r="H292" s="35" t="n"/>
      <c r="I292" s="40" t="n"/>
      <c r="J292" s="40" t="n"/>
      <c r="K292" s="40" t="n"/>
      <c r="L292" s="40" t="n"/>
      <c r="M292" s="34" t="n"/>
      <c r="N292" s="36">
        <f>IFERROR(H292/G292*1000,"")</f>
        <v/>
      </c>
      <c r="O292" s="41">
        <f>IFERROR(I292/G292,"")</f>
        <v/>
      </c>
      <c r="P292" s="41">
        <f>IFERROR(J292/G292,"")</f>
        <v/>
      </c>
      <c r="Q292" s="42">
        <f>IFERROR(P292/O292,"")</f>
        <v/>
      </c>
      <c r="R292" s="43">
        <f>IFERROR(K292/J292,"")</f>
        <v/>
      </c>
      <c r="S292" s="37">
        <f>IFERROR(M292/H292,"")</f>
        <v/>
      </c>
      <c r="T292" s="27">
        <f>IF(G292="","",IF(G292&gt;='KPI Benchmarks'!$D$14,"Yes","No"))</f>
        <v/>
      </c>
      <c r="U292" s="44">
        <f>IF(G292="","",IF(T292="No","Running",IF(AND(N(O292)&gt;='KPI Benchmarks'!$D$5,N(Q292)&gt;='KPI Benchmarks'!$D$6,OR(N(L292)&gt;0,N(K292)&gt;0)),"WINNER",IF(AND(N(O292)&gt;='KPI Benchmarks'!$D$5,N(Q292)&gt;='KPI Benchmarks'!$D$6),"Watch","Cut"))))</f>
        <v/>
      </c>
      <c r="V292" s="27">
        <f>IF(U292="WINNER",IF(N(L292)&gt;0,"Prospecting (ASC / interests)","Retargeting candidate"),IF(U292="Watch","Retest or retargeting","" ))</f>
        <v/>
      </c>
      <c r="W292" s="13" t="n"/>
    </row>
    <row r="293">
      <c r="A293" s="13" t="n"/>
      <c r="B293" s="13" t="n"/>
      <c r="C293" s="13" t="n"/>
      <c r="D293" s="13" t="n"/>
      <c r="E293" s="13" t="n"/>
      <c r="F293" s="13" t="n"/>
      <c r="G293" s="40" t="n"/>
      <c r="H293" s="35" t="n"/>
      <c r="I293" s="40" t="n"/>
      <c r="J293" s="40" t="n"/>
      <c r="K293" s="40" t="n"/>
      <c r="L293" s="40" t="n"/>
      <c r="M293" s="34" t="n"/>
      <c r="N293" s="36">
        <f>IFERROR(H293/G293*1000,"")</f>
        <v/>
      </c>
      <c r="O293" s="41">
        <f>IFERROR(I293/G293,"")</f>
        <v/>
      </c>
      <c r="P293" s="41">
        <f>IFERROR(J293/G293,"")</f>
        <v/>
      </c>
      <c r="Q293" s="42">
        <f>IFERROR(P293/O293,"")</f>
        <v/>
      </c>
      <c r="R293" s="43">
        <f>IFERROR(K293/J293,"")</f>
        <v/>
      </c>
      <c r="S293" s="37">
        <f>IFERROR(M293/H293,"")</f>
        <v/>
      </c>
      <c r="T293" s="27">
        <f>IF(G293="","",IF(G293&gt;='KPI Benchmarks'!$D$14,"Yes","No"))</f>
        <v/>
      </c>
      <c r="U293" s="44">
        <f>IF(G293="","",IF(T293="No","Running",IF(AND(N(O293)&gt;='KPI Benchmarks'!$D$5,N(Q293)&gt;='KPI Benchmarks'!$D$6,OR(N(L293)&gt;0,N(K293)&gt;0)),"WINNER",IF(AND(N(O293)&gt;='KPI Benchmarks'!$D$5,N(Q293)&gt;='KPI Benchmarks'!$D$6),"Watch","Cut"))))</f>
        <v/>
      </c>
      <c r="V293" s="27">
        <f>IF(U293="WINNER",IF(N(L293)&gt;0,"Prospecting (ASC / interests)","Retargeting candidate"),IF(U293="Watch","Retest or retargeting","" ))</f>
        <v/>
      </c>
      <c r="W293" s="13" t="n"/>
    </row>
    <row r="294">
      <c r="A294" s="13" t="n"/>
      <c r="B294" s="13" t="n"/>
      <c r="C294" s="13" t="n"/>
      <c r="D294" s="13" t="n"/>
      <c r="E294" s="13" t="n"/>
      <c r="F294" s="13" t="n"/>
      <c r="G294" s="40" t="n"/>
      <c r="H294" s="35" t="n"/>
      <c r="I294" s="40" t="n"/>
      <c r="J294" s="40" t="n"/>
      <c r="K294" s="40" t="n"/>
      <c r="L294" s="40" t="n"/>
      <c r="M294" s="34" t="n"/>
      <c r="N294" s="36">
        <f>IFERROR(H294/G294*1000,"")</f>
        <v/>
      </c>
      <c r="O294" s="41">
        <f>IFERROR(I294/G294,"")</f>
        <v/>
      </c>
      <c r="P294" s="41">
        <f>IFERROR(J294/G294,"")</f>
        <v/>
      </c>
      <c r="Q294" s="42">
        <f>IFERROR(P294/O294,"")</f>
        <v/>
      </c>
      <c r="R294" s="43">
        <f>IFERROR(K294/J294,"")</f>
        <v/>
      </c>
      <c r="S294" s="37">
        <f>IFERROR(M294/H294,"")</f>
        <v/>
      </c>
      <c r="T294" s="27">
        <f>IF(G294="","",IF(G294&gt;='KPI Benchmarks'!$D$14,"Yes","No"))</f>
        <v/>
      </c>
      <c r="U294" s="44">
        <f>IF(G294="","",IF(T294="No","Running",IF(AND(N(O294)&gt;='KPI Benchmarks'!$D$5,N(Q294)&gt;='KPI Benchmarks'!$D$6,OR(N(L294)&gt;0,N(K294)&gt;0)),"WINNER",IF(AND(N(O294)&gt;='KPI Benchmarks'!$D$5,N(Q294)&gt;='KPI Benchmarks'!$D$6),"Watch","Cut"))))</f>
        <v/>
      </c>
      <c r="V294" s="27">
        <f>IF(U294="WINNER",IF(N(L294)&gt;0,"Prospecting (ASC / interests)","Retargeting candidate"),IF(U294="Watch","Retest or retargeting","" ))</f>
        <v/>
      </c>
      <c r="W294" s="13" t="n"/>
    </row>
    <row r="295">
      <c r="A295" s="13" t="n"/>
      <c r="B295" s="13" t="n"/>
      <c r="C295" s="13" t="n"/>
      <c r="D295" s="13" t="n"/>
      <c r="E295" s="13" t="n"/>
      <c r="F295" s="13" t="n"/>
      <c r="G295" s="40" t="n"/>
      <c r="H295" s="35" t="n"/>
      <c r="I295" s="40" t="n"/>
      <c r="J295" s="40" t="n"/>
      <c r="K295" s="40" t="n"/>
      <c r="L295" s="40" t="n"/>
      <c r="M295" s="34" t="n"/>
      <c r="N295" s="36">
        <f>IFERROR(H295/G295*1000,"")</f>
        <v/>
      </c>
      <c r="O295" s="41">
        <f>IFERROR(I295/G295,"")</f>
        <v/>
      </c>
      <c r="P295" s="41">
        <f>IFERROR(J295/G295,"")</f>
        <v/>
      </c>
      <c r="Q295" s="42">
        <f>IFERROR(P295/O295,"")</f>
        <v/>
      </c>
      <c r="R295" s="43">
        <f>IFERROR(K295/J295,"")</f>
        <v/>
      </c>
      <c r="S295" s="37">
        <f>IFERROR(M295/H295,"")</f>
        <v/>
      </c>
      <c r="T295" s="27">
        <f>IF(G295="","",IF(G295&gt;='KPI Benchmarks'!$D$14,"Yes","No"))</f>
        <v/>
      </c>
      <c r="U295" s="44">
        <f>IF(G295="","",IF(T295="No","Running",IF(AND(N(O295)&gt;='KPI Benchmarks'!$D$5,N(Q295)&gt;='KPI Benchmarks'!$D$6,OR(N(L295)&gt;0,N(K295)&gt;0)),"WINNER",IF(AND(N(O295)&gt;='KPI Benchmarks'!$D$5,N(Q295)&gt;='KPI Benchmarks'!$D$6),"Watch","Cut"))))</f>
        <v/>
      </c>
      <c r="V295" s="27">
        <f>IF(U295="WINNER",IF(N(L295)&gt;0,"Prospecting (ASC / interests)","Retargeting candidate"),IF(U295="Watch","Retest or retargeting","" ))</f>
        <v/>
      </c>
      <c r="W295" s="13" t="n"/>
    </row>
    <row r="296">
      <c r="A296" s="13" t="n"/>
      <c r="B296" s="13" t="n"/>
      <c r="C296" s="13" t="n"/>
      <c r="D296" s="13" t="n"/>
      <c r="E296" s="13" t="n"/>
      <c r="F296" s="13" t="n"/>
      <c r="G296" s="40" t="n"/>
      <c r="H296" s="35" t="n"/>
      <c r="I296" s="40" t="n"/>
      <c r="J296" s="40" t="n"/>
      <c r="K296" s="40" t="n"/>
      <c r="L296" s="40" t="n"/>
      <c r="M296" s="34" t="n"/>
      <c r="N296" s="36">
        <f>IFERROR(H296/G296*1000,"")</f>
        <v/>
      </c>
      <c r="O296" s="41">
        <f>IFERROR(I296/G296,"")</f>
        <v/>
      </c>
      <c r="P296" s="41">
        <f>IFERROR(J296/G296,"")</f>
        <v/>
      </c>
      <c r="Q296" s="42">
        <f>IFERROR(P296/O296,"")</f>
        <v/>
      </c>
      <c r="R296" s="43">
        <f>IFERROR(K296/J296,"")</f>
        <v/>
      </c>
      <c r="S296" s="37">
        <f>IFERROR(M296/H296,"")</f>
        <v/>
      </c>
      <c r="T296" s="27">
        <f>IF(G296="","",IF(G296&gt;='KPI Benchmarks'!$D$14,"Yes","No"))</f>
        <v/>
      </c>
      <c r="U296" s="44">
        <f>IF(G296="","",IF(T296="No","Running",IF(AND(N(O296)&gt;='KPI Benchmarks'!$D$5,N(Q296)&gt;='KPI Benchmarks'!$D$6,OR(N(L296)&gt;0,N(K296)&gt;0)),"WINNER",IF(AND(N(O296)&gt;='KPI Benchmarks'!$D$5,N(Q296)&gt;='KPI Benchmarks'!$D$6),"Watch","Cut"))))</f>
        <v/>
      </c>
      <c r="V296" s="27">
        <f>IF(U296="WINNER",IF(N(L296)&gt;0,"Prospecting (ASC / interests)","Retargeting candidate"),IF(U296="Watch","Retest or retargeting","" ))</f>
        <v/>
      </c>
      <c r="W296" s="13" t="n"/>
    </row>
    <row r="297">
      <c r="A297" s="13" t="n"/>
      <c r="B297" s="13" t="n"/>
      <c r="C297" s="13" t="n"/>
      <c r="D297" s="13" t="n"/>
      <c r="E297" s="13" t="n"/>
      <c r="F297" s="13" t="n"/>
      <c r="G297" s="40" t="n"/>
      <c r="H297" s="35" t="n"/>
      <c r="I297" s="40" t="n"/>
      <c r="J297" s="40" t="n"/>
      <c r="K297" s="40" t="n"/>
      <c r="L297" s="40" t="n"/>
      <c r="M297" s="34" t="n"/>
      <c r="N297" s="36">
        <f>IFERROR(H297/G297*1000,"")</f>
        <v/>
      </c>
      <c r="O297" s="41">
        <f>IFERROR(I297/G297,"")</f>
        <v/>
      </c>
      <c r="P297" s="41">
        <f>IFERROR(J297/G297,"")</f>
        <v/>
      </c>
      <c r="Q297" s="42">
        <f>IFERROR(P297/O297,"")</f>
        <v/>
      </c>
      <c r="R297" s="43">
        <f>IFERROR(K297/J297,"")</f>
        <v/>
      </c>
      <c r="S297" s="37">
        <f>IFERROR(M297/H297,"")</f>
        <v/>
      </c>
      <c r="T297" s="27">
        <f>IF(G297="","",IF(G297&gt;='KPI Benchmarks'!$D$14,"Yes","No"))</f>
        <v/>
      </c>
      <c r="U297" s="44">
        <f>IF(G297="","",IF(T297="No","Running",IF(AND(N(O297)&gt;='KPI Benchmarks'!$D$5,N(Q297)&gt;='KPI Benchmarks'!$D$6,OR(N(L297)&gt;0,N(K297)&gt;0)),"WINNER",IF(AND(N(O297)&gt;='KPI Benchmarks'!$D$5,N(Q297)&gt;='KPI Benchmarks'!$D$6),"Watch","Cut"))))</f>
        <v/>
      </c>
      <c r="V297" s="27">
        <f>IF(U297="WINNER",IF(N(L297)&gt;0,"Prospecting (ASC / interests)","Retargeting candidate"),IF(U297="Watch","Retest or retargeting","" ))</f>
        <v/>
      </c>
      <c r="W297" s="13" t="n"/>
    </row>
    <row r="298">
      <c r="A298" s="13" t="n"/>
      <c r="B298" s="13" t="n"/>
      <c r="C298" s="13" t="n"/>
      <c r="D298" s="13" t="n"/>
      <c r="E298" s="13" t="n"/>
      <c r="F298" s="13" t="n"/>
      <c r="G298" s="40" t="n"/>
      <c r="H298" s="35" t="n"/>
      <c r="I298" s="40" t="n"/>
      <c r="J298" s="40" t="n"/>
      <c r="K298" s="40" t="n"/>
      <c r="L298" s="40" t="n"/>
      <c r="M298" s="34" t="n"/>
      <c r="N298" s="36">
        <f>IFERROR(H298/G298*1000,"")</f>
        <v/>
      </c>
      <c r="O298" s="41">
        <f>IFERROR(I298/G298,"")</f>
        <v/>
      </c>
      <c r="P298" s="41">
        <f>IFERROR(J298/G298,"")</f>
        <v/>
      </c>
      <c r="Q298" s="42">
        <f>IFERROR(P298/O298,"")</f>
        <v/>
      </c>
      <c r="R298" s="43">
        <f>IFERROR(K298/J298,"")</f>
        <v/>
      </c>
      <c r="S298" s="37">
        <f>IFERROR(M298/H298,"")</f>
        <v/>
      </c>
      <c r="T298" s="27">
        <f>IF(G298="","",IF(G298&gt;='KPI Benchmarks'!$D$14,"Yes","No"))</f>
        <v/>
      </c>
      <c r="U298" s="44">
        <f>IF(G298="","",IF(T298="No","Running",IF(AND(N(O298)&gt;='KPI Benchmarks'!$D$5,N(Q298)&gt;='KPI Benchmarks'!$D$6,OR(N(L298)&gt;0,N(K298)&gt;0)),"WINNER",IF(AND(N(O298)&gt;='KPI Benchmarks'!$D$5,N(Q298)&gt;='KPI Benchmarks'!$D$6),"Watch","Cut"))))</f>
        <v/>
      </c>
      <c r="V298" s="27">
        <f>IF(U298="WINNER",IF(N(L298)&gt;0,"Prospecting (ASC / interests)","Retargeting candidate"),IF(U298="Watch","Retest or retargeting","" ))</f>
        <v/>
      </c>
      <c r="W298" s="13" t="n"/>
    </row>
    <row r="299">
      <c r="A299" s="13" t="n"/>
      <c r="B299" s="13" t="n"/>
      <c r="C299" s="13" t="n"/>
      <c r="D299" s="13" t="n"/>
      <c r="E299" s="13" t="n"/>
      <c r="F299" s="13" t="n"/>
      <c r="G299" s="40" t="n"/>
      <c r="H299" s="35" t="n"/>
      <c r="I299" s="40" t="n"/>
      <c r="J299" s="40" t="n"/>
      <c r="K299" s="40" t="n"/>
      <c r="L299" s="40" t="n"/>
      <c r="M299" s="34" t="n"/>
      <c r="N299" s="36">
        <f>IFERROR(H299/G299*1000,"")</f>
        <v/>
      </c>
      <c r="O299" s="41">
        <f>IFERROR(I299/G299,"")</f>
        <v/>
      </c>
      <c r="P299" s="41">
        <f>IFERROR(J299/G299,"")</f>
        <v/>
      </c>
      <c r="Q299" s="42">
        <f>IFERROR(P299/O299,"")</f>
        <v/>
      </c>
      <c r="R299" s="43">
        <f>IFERROR(K299/J299,"")</f>
        <v/>
      </c>
      <c r="S299" s="37">
        <f>IFERROR(M299/H299,"")</f>
        <v/>
      </c>
      <c r="T299" s="27">
        <f>IF(G299="","",IF(G299&gt;='KPI Benchmarks'!$D$14,"Yes","No"))</f>
        <v/>
      </c>
      <c r="U299" s="44">
        <f>IF(G299="","",IF(T299="No","Running",IF(AND(N(O299)&gt;='KPI Benchmarks'!$D$5,N(Q299)&gt;='KPI Benchmarks'!$D$6,OR(N(L299)&gt;0,N(K299)&gt;0)),"WINNER",IF(AND(N(O299)&gt;='KPI Benchmarks'!$D$5,N(Q299)&gt;='KPI Benchmarks'!$D$6),"Watch","Cut"))))</f>
        <v/>
      </c>
      <c r="V299" s="27">
        <f>IF(U299="WINNER",IF(N(L299)&gt;0,"Prospecting (ASC / interests)","Retargeting candidate"),IF(U299="Watch","Retest or retargeting","" ))</f>
        <v/>
      </c>
      <c r="W299" s="13" t="n"/>
    </row>
    <row r="300">
      <c r="A300" s="13" t="n"/>
      <c r="B300" s="13" t="n"/>
      <c r="C300" s="13" t="n"/>
      <c r="D300" s="13" t="n"/>
      <c r="E300" s="13" t="n"/>
      <c r="F300" s="13" t="n"/>
      <c r="G300" s="40" t="n"/>
      <c r="H300" s="35" t="n"/>
      <c r="I300" s="40" t="n"/>
      <c r="J300" s="40" t="n"/>
      <c r="K300" s="40" t="n"/>
      <c r="L300" s="40" t="n"/>
      <c r="M300" s="34" t="n"/>
      <c r="N300" s="36">
        <f>IFERROR(H300/G300*1000,"")</f>
        <v/>
      </c>
      <c r="O300" s="41">
        <f>IFERROR(I300/G300,"")</f>
        <v/>
      </c>
      <c r="P300" s="41">
        <f>IFERROR(J300/G300,"")</f>
        <v/>
      </c>
      <c r="Q300" s="42">
        <f>IFERROR(P300/O300,"")</f>
        <v/>
      </c>
      <c r="R300" s="43">
        <f>IFERROR(K300/J300,"")</f>
        <v/>
      </c>
      <c r="S300" s="37">
        <f>IFERROR(M300/H300,"")</f>
        <v/>
      </c>
      <c r="T300" s="27">
        <f>IF(G300="","",IF(G300&gt;='KPI Benchmarks'!$D$14,"Yes","No"))</f>
        <v/>
      </c>
      <c r="U300" s="44">
        <f>IF(G300="","",IF(T300="No","Running",IF(AND(N(O300)&gt;='KPI Benchmarks'!$D$5,N(Q300)&gt;='KPI Benchmarks'!$D$6,OR(N(L300)&gt;0,N(K300)&gt;0)),"WINNER",IF(AND(N(O300)&gt;='KPI Benchmarks'!$D$5,N(Q300)&gt;='KPI Benchmarks'!$D$6),"Watch","Cut"))))</f>
        <v/>
      </c>
      <c r="V300" s="27">
        <f>IF(U300="WINNER",IF(N(L300)&gt;0,"Prospecting (ASC / interests)","Retargeting candidate"),IF(U300="Watch","Retest or retargeting","" ))</f>
        <v/>
      </c>
      <c r="W300" s="13" t="n"/>
    </row>
    <row r="301">
      <c r="A301" s="13" t="n"/>
      <c r="B301" s="13" t="n"/>
      <c r="C301" s="13" t="n"/>
      <c r="D301" s="13" t="n"/>
      <c r="E301" s="13" t="n"/>
      <c r="F301" s="13" t="n"/>
      <c r="G301" s="40" t="n"/>
      <c r="H301" s="35" t="n"/>
      <c r="I301" s="40" t="n"/>
      <c r="J301" s="40" t="n"/>
      <c r="K301" s="40" t="n"/>
      <c r="L301" s="40" t="n"/>
      <c r="M301" s="34" t="n"/>
      <c r="N301" s="36">
        <f>IFERROR(H301/G301*1000,"")</f>
        <v/>
      </c>
      <c r="O301" s="41">
        <f>IFERROR(I301/G301,"")</f>
        <v/>
      </c>
      <c r="P301" s="41">
        <f>IFERROR(J301/G301,"")</f>
        <v/>
      </c>
      <c r="Q301" s="42">
        <f>IFERROR(P301/O301,"")</f>
        <v/>
      </c>
      <c r="R301" s="43">
        <f>IFERROR(K301/J301,"")</f>
        <v/>
      </c>
      <c r="S301" s="37">
        <f>IFERROR(M301/H301,"")</f>
        <v/>
      </c>
      <c r="T301" s="27">
        <f>IF(G301="","",IF(G301&gt;='KPI Benchmarks'!$D$14,"Yes","No"))</f>
        <v/>
      </c>
      <c r="U301" s="44">
        <f>IF(G301="","",IF(T301="No","Running",IF(AND(N(O301)&gt;='KPI Benchmarks'!$D$5,N(Q301)&gt;='KPI Benchmarks'!$D$6,OR(N(L301)&gt;0,N(K301)&gt;0)),"WINNER",IF(AND(N(O301)&gt;='KPI Benchmarks'!$D$5,N(Q301)&gt;='KPI Benchmarks'!$D$6),"Watch","Cut"))))</f>
        <v/>
      </c>
      <c r="V301" s="27">
        <f>IF(U301="WINNER",IF(N(L301)&gt;0,"Prospecting (ASC / interests)","Retargeting candidate"),IF(U301="Watch","Retest or retargeting","" ))</f>
        <v/>
      </c>
      <c r="W301" s="13" t="n"/>
    </row>
    <row r="302">
      <c r="A302" s="13" t="n"/>
      <c r="B302" s="13" t="n"/>
      <c r="C302" s="13" t="n"/>
      <c r="D302" s="13" t="n"/>
      <c r="E302" s="13" t="n"/>
      <c r="F302" s="13" t="n"/>
      <c r="G302" s="40" t="n"/>
      <c r="H302" s="35" t="n"/>
      <c r="I302" s="40" t="n"/>
      <c r="J302" s="40" t="n"/>
      <c r="K302" s="40" t="n"/>
      <c r="L302" s="40" t="n"/>
      <c r="M302" s="34" t="n"/>
      <c r="N302" s="36">
        <f>IFERROR(H302/G302*1000,"")</f>
        <v/>
      </c>
      <c r="O302" s="41">
        <f>IFERROR(I302/G302,"")</f>
        <v/>
      </c>
      <c r="P302" s="41">
        <f>IFERROR(J302/G302,"")</f>
        <v/>
      </c>
      <c r="Q302" s="42">
        <f>IFERROR(P302/O302,"")</f>
        <v/>
      </c>
      <c r="R302" s="43">
        <f>IFERROR(K302/J302,"")</f>
        <v/>
      </c>
      <c r="S302" s="37">
        <f>IFERROR(M302/H302,"")</f>
        <v/>
      </c>
      <c r="T302" s="27">
        <f>IF(G302="","",IF(G302&gt;='KPI Benchmarks'!$D$14,"Yes","No"))</f>
        <v/>
      </c>
      <c r="U302" s="44">
        <f>IF(G302="","",IF(T302="No","Running",IF(AND(N(O302)&gt;='KPI Benchmarks'!$D$5,N(Q302)&gt;='KPI Benchmarks'!$D$6,OR(N(L302)&gt;0,N(K302)&gt;0)),"WINNER",IF(AND(N(O302)&gt;='KPI Benchmarks'!$D$5,N(Q302)&gt;='KPI Benchmarks'!$D$6),"Watch","Cut"))))</f>
        <v/>
      </c>
      <c r="V302" s="27">
        <f>IF(U302="WINNER",IF(N(L302)&gt;0,"Prospecting (ASC / interests)","Retargeting candidate"),IF(U302="Watch","Retest or retargeting","" ))</f>
        <v/>
      </c>
      <c r="W302" s="13" t="n"/>
    </row>
    <row r="303">
      <c r="A303" s="13" t="n"/>
      <c r="B303" s="13" t="n"/>
      <c r="C303" s="13" t="n"/>
      <c r="D303" s="13" t="n"/>
      <c r="E303" s="13" t="n"/>
      <c r="F303" s="13" t="n"/>
      <c r="G303" s="40" t="n"/>
      <c r="H303" s="35" t="n"/>
      <c r="I303" s="40" t="n"/>
      <c r="J303" s="40" t="n"/>
      <c r="K303" s="40" t="n"/>
      <c r="L303" s="40" t="n"/>
      <c r="M303" s="34" t="n"/>
      <c r="N303" s="36">
        <f>IFERROR(H303/G303*1000,"")</f>
        <v/>
      </c>
      <c r="O303" s="41">
        <f>IFERROR(I303/G303,"")</f>
        <v/>
      </c>
      <c r="P303" s="41">
        <f>IFERROR(J303/G303,"")</f>
        <v/>
      </c>
      <c r="Q303" s="42">
        <f>IFERROR(P303/O303,"")</f>
        <v/>
      </c>
      <c r="R303" s="43">
        <f>IFERROR(K303/J303,"")</f>
        <v/>
      </c>
      <c r="S303" s="37">
        <f>IFERROR(M303/H303,"")</f>
        <v/>
      </c>
      <c r="T303" s="27">
        <f>IF(G303="","",IF(G303&gt;='KPI Benchmarks'!$D$14,"Yes","No"))</f>
        <v/>
      </c>
      <c r="U303" s="44">
        <f>IF(G303="","",IF(T303="No","Running",IF(AND(N(O303)&gt;='KPI Benchmarks'!$D$5,N(Q303)&gt;='KPI Benchmarks'!$D$6,OR(N(L303)&gt;0,N(K303)&gt;0)),"WINNER",IF(AND(N(O303)&gt;='KPI Benchmarks'!$D$5,N(Q303)&gt;='KPI Benchmarks'!$D$6),"Watch","Cut"))))</f>
        <v/>
      </c>
      <c r="V303" s="27">
        <f>IF(U303="WINNER",IF(N(L303)&gt;0,"Prospecting (ASC / interests)","Retargeting candidate"),IF(U303="Watch","Retest or retargeting","" ))</f>
        <v/>
      </c>
      <c r="W303" s="13" t="n"/>
    </row>
    <row r="304">
      <c r="A304" s="13" t="n"/>
      <c r="B304" s="13" t="n"/>
      <c r="C304" s="13" t="n"/>
      <c r="D304" s="13" t="n"/>
      <c r="E304" s="13" t="n"/>
      <c r="F304" s="13" t="n"/>
      <c r="G304" s="40" t="n"/>
      <c r="H304" s="35" t="n"/>
      <c r="I304" s="40" t="n"/>
      <c r="J304" s="40" t="n"/>
      <c r="K304" s="40" t="n"/>
      <c r="L304" s="40" t="n"/>
      <c r="M304" s="34" t="n"/>
      <c r="N304" s="36">
        <f>IFERROR(H304/G304*1000,"")</f>
        <v/>
      </c>
      <c r="O304" s="41">
        <f>IFERROR(I304/G304,"")</f>
        <v/>
      </c>
      <c r="P304" s="41">
        <f>IFERROR(J304/G304,"")</f>
        <v/>
      </c>
      <c r="Q304" s="42">
        <f>IFERROR(P304/O304,"")</f>
        <v/>
      </c>
      <c r="R304" s="43">
        <f>IFERROR(K304/J304,"")</f>
        <v/>
      </c>
      <c r="S304" s="37">
        <f>IFERROR(M304/H304,"")</f>
        <v/>
      </c>
      <c r="T304" s="27">
        <f>IF(G304="","",IF(G304&gt;='KPI Benchmarks'!$D$14,"Yes","No"))</f>
        <v/>
      </c>
      <c r="U304" s="44">
        <f>IF(G304="","",IF(T304="No","Running",IF(AND(N(O304)&gt;='KPI Benchmarks'!$D$5,N(Q304)&gt;='KPI Benchmarks'!$D$6,OR(N(L304)&gt;0,N(K304)&gt;0)),"WINNER",IF(AND(N(O304)&gt;='KPI Benchmarks'!$D$5,N(Q304)&gt;='KPI Benchmarks'!$D$6),"Watch","Cut"))))</f>
        <v/>
      </c>
      <c r="V304" s="27">
        <f>IF(U304="WINNER",IF(N(L304)&gt;0,"Prospecting (ASC / interests)","Retargeting candidate"),IF(U304="Watch","Retest or retargeting","" ))</f>
        <v/>
      </c>
      <c r="W304" s="13" t="n"/>
    </row>
  </sheetData>
  <conditionalFormatting sqref="U5:U304">
    <cfRule type="expression" priority="1" dxfId="0">
      <formula>U5="WINNER"</formula>
    </cfRule>
    <cfRule type="expression" priority="2" dxfId="1">
      <formula>U5="Watch"</formula>
    </cfRule>
    <cfRule type="expression" priority="3" dxfId="2">
      <formula>U5="Cut"</formula>
    </cfRule>
  </conditionalFormatting>
  <dataValidations count="1">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showDropDown="0" showInputMessage="0" showErrorMessage="0" allowBlank="1" type="list">
      <formula1>"UGC,Static,Carousel,Product demo,Testimonial,Before/after,Unboxing,Founder,Infographic,Us vs them"</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4"/>
  <sheetViews>
    <sheetView showGridLines="0"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24" customWidth="1" min="4" max="4"/>
    <col width="34" customWidth="1" min="5" max="5"/>
    <col width="26" customWidth="1" min="6" max="6"/>
    <col width="11" customWidth="1" min="7" max="7"/>
    <col width="11" customWidth="1" min="8" max="8"/>
    <col width="12" customWidth="1" min="9" max="9"/>
    <col width="24" customWidth="1" min="10" max="10"/>
    <col width="22" customWidth="1" min="11" max="11"/>
    <col width="40" customWidth="1" min="12" max="12"/>
  </cols>
  <sheetData>
    <row r="1">
      <c r="A1" s="1" t="inlineStr">
        <is>
          <t>Stairway Test Log</t>
        </is>
      </c>
    </row>
    <row r="2">
      <c r="A2" s="2" t="inlineStr">
        <is>
          <t>Every test beyond the creative test. One variable per row; everything else held constant.</t>
        </is>
      </c>
    </row>
    <row r="4" ht="32" customHeight="1">
      <c r="A4" s="10" t="inlineStr">
        <is>
          <t>Client</t>
        </is>
      </c>
      <c r="B4" s="10" t="inlineStr">
        <is>
          <t>Step</t>
        </is>
      </c>
      <c r="C4" s="10" t="inlineStr">
        <is>
          <t>Variable tested</t>
        </is>
      </c>
      <c r="D4" s="10" t="inlineStr">
        <is>
          <t>Held constant</t>
        </is>
      </c>
      <c r="E4" s="10" t="inlineStr">
        <is>
          <t>Variants</t>
        </is>
      </c>
      <c r="F4" s="10" t="inlineStr">
        <is>
          <t>Structure / budget</t>
        </is>
      </c>
      <c r="G4" s="10" t="inlineStr">
        <is>
          <t>Start</t>
        </is>
      </c>
      <c r="H4" s="10" t="inlineStr">
        <is>
          <t>End</t>
        </is>
      </c>
      <c r="I4" s="10" t="inlineStr">
        <is>
          <t>Status</t>
        </is>
      </c>
      <c r="J4" s="10" t="inlineStr">
        <is>
          <t>Winner</t>
        </is>
      </c>
      <c r="K4" s="10" t="inlineStr">
        <is>
          <t>Deciding metric</t>
        </is>
      </c>
      <c r="L4" s="10" t="inlineStr">
        <is>
          <t>Learning → next brief</t>
        </is>
      </c>
    </row>
    <row r="5">
      <c r="A5" s="13" t="inlineStr">
        <is>
          <t>Example Outdoor Co</t>
        </is>
      </c>
      <c r="B5" s="13" t="inlineStr">
        <is>
          <t>3 Landing page</t>
        </is>
      </c>
      <c r="C5" s="13" t="inlineStr">
        <is>
          <t>Destination URL</t>
        </is>
      </c>
      <c r="D5" s="13" t="inlineStr">
        <is>
          <t>Winning ad + original copy, broad</t>
        </is>
      </c>
      <c r="E5" s="13" t="inlineStr">
        <is>
          <t>Home · Collection · Product · Custom persona page</t>
        </is>
      </c>
      <c r="F5" s="13" t="inlineStr">
        <is>
          <t>ABO, 1 URL per ad set, ~$100 each</t>
        </is>
      </c>
      <c r="G5" s="14" t="n">
        <v>46266</v>
      </c>
      <c r="H5" s="14" t="n">
        <v>46273</v>
      </c>
      <c r="I5" s="13" t="inlineStr">
        <is>
          <t>Done</t>
        </is>
      </c>
      <c r="J5" s="13" t="inlineStr">
        <is>
          <t>Custom persona page</t>
        </is>
      </c>
      <c r="K5" s="13" t="inlineStr">
        <is>
          <t>Most carts reaching purchase; ROAS</t>
        </is>
      </c>
      <c r="L5" s="13" t="inlineStr">
        <is>
          <t>Build a second persona page for truckers</t>
        </is>
      </c>
    </row>
    <row r="6">
      <c r="A6" s="13" t="n"/>
      <c r="B6" s="13" t="n"/>
      <c r="C6" s="13" t="n"/>
      <c r="D6" s="13" t="n"/>
      <c r="E6" s="13" t="n"/>
      <c r="F6" s="13" t="n"/>
      <c r="G6" s="14" t="n"/>
      <c r="H6" s="14" t="n"/>
      <c r="I6" s="13" t="n"/>
      <c r="J6" s="13" t="n"/>
      <c r="K6" s="13" t="n"/>
      <c r="L6" s="13" t="n"/>
    </row>
    <row r="7">
      <c r="A7" s="13" t="n"/>
      <c r="B7" s="13" t="n"/>
      <c r="C7" s="13" t="n"/>
      <c r="D7" s="13" t="n"/>
      <c r="E7" s="13" t="n"/>
      <c r="F7" s="13" t="n"/>
      <c r="G7" s="14" t="n"/>
      <c r="H7" s="14" t="n"/>
      <c r="I7" s="13" t="n"/>
      <c r="J7" s="13" t="n"/>
      <c r="K7" s="13" t="n"/>
      <c r="L7" s="13" t="n"/>
    </row>
    <row r="8">
      <c r="A8" s="13" t="n"/>
      <c r="B8" s="13" t="n"/>
      <c r="C8" s="13" t="n"/>
      <c r="D8" s="13" t="n"/>
      <c r="E8" s="13" t="n"/>
      <c r="F8" s="13" t="n"/>
      <c r="G8" s="14" t="n"/>
      <c r="H8" s="14" t="n"/>
      <c r="I8" s="13" t="n"/>
      <c r="J8" s="13" t="n"/>
      <c r="K8" s="13" t="n"/>
      <c r="L8" s="13" t="n"/>
    </row>
    <row r="9">
      <c r="A9" s="13" t="n"/>
      <c r="B9" s="13" t="n"/>
      <c r="C9" s="13" t="n"/>
      <c r="D9" s="13" t="n"/>
      <c r="E9" s="13" t="n"/>
      <c r="F9" s="13" t="n"/>
      <c r="G9" s="14" t="n"/>
      <c r="H9" s="14" t="n"/>
      <c r="I9" s="13" t="n"/>
      <c r="J9" s="13" t="n"/>
      <c r="K9" s="13" t="n"/>
      <c r="L9" s="13" t="n"/>
    </row>
    <row r="10">
      <c r="A10" s="13" t="n"/>
      <c r="B10" s="13" t="n"/>
      <c r="C10" s="13" t="n"/>
      <c r="D10" s="13" t="n"/>
      <c r="E10" s="13" t="n"/>
      <c r="F10" s="13" t="n"/>
      <c r="G10" s="14" t="n"/>
      <c r="H10" s="14" t="n"/>
      <c r="I10" s="13" t="n"/>
      <c r="J10" s="13" t="n"/>
      <c r="K10" s="13" t="n"/>
      <c r="L10" s="13" t="n"/>
    </row>
    <row r="11">
      <c r="A11" s="13" t="n"/>
      <c r="B11" s="13" t="n"/>
      <c r="C11" s="13" t="n"/>
      <c r="D11" s="13" t="n"/>
      <c r="E11" s="13" t="n"/>
      <c r="F11" s="13" t="n"/>
      <c r="G11" s="14" t="n"/>
      <c r="H11" s="14" t="n"/>
      <c r="I11" s="13" t="n"/>
      <c r="J11" s="13" t="n"/>
      <c r="K11" s="13" t="n"/>
      <c r="L11" s="13" t="n"/>
    </row>
    <row r="12">
      <c r="A12" s="13" t="n"/>
      <c r="B12" s="13" t="n"/>
      <c r="C12" s="13" t="n"/>
      <c r="D12" s="13" t="n"/>
      <c r="E12" s="13" t="n"/>
      <c r="F12" s="13" t="n"/>
      <c r="G12" s="14" t="n"/>
      <c r="H12" s="14" t="n"/>
      <c r="I12" s="13" t="n"/>
      <c r="J12" s="13" t="n"/>
      <c r="K12" s="13" t="n"/>
      <c r="L12" s="13" t="n"/>
    </row>
    <row r="13">
      <c r="A13" s="13" t="n"/>
      <c r="B13" s="13" t="n"/>
      <c r="C13" s="13" t="n"/>
      <c r="D13" s="13" t="n"/>
      <c r="E13" s="13" t="n"/>
      <c r="F13" s="13" t="n"/>
      <c r="G13" s="14" t="n"/>
      <c r="H13" s="14" t="n"/>
      <c r="I13" s="13" t="n"/>
      <c r="J13" s="13" t="n"/>
      <c r="K13" s="13" t="n"/>
      <c r="L13" s="13" t="n"/>
    </row>
    <row r="14">
      <c r="A14" s="13" t="n"/>
      <c r="B14" s="13" t="n"/>
      <c r="C14" s="13" t="n"/>
      <c r="D14" s="13" t="n"/>
      <c r="E14" s="13" t="n"/>
      <c r="F14" s="13" t="n"/>
      <c r="G14" s="14" t="n"/>
      <c r="H14" s="14" t="n"/>
      <c r="I14" s="13" t="n"/>
      <c r="J14" s="13" t="n"/>
      <c r="K14" s="13" t="n"/>
      <c r="L14" s="13" t="n"/>
    </row>
    <row r="15">
      <c r="A15" s="13" t="n"/>
      <c r="B15" s="13" t="n"/>
      <c r="C15" s="13" t="n"/>
      <c r="D15" s="13" t="n"/>
      <c r="E15" s="13" t="n"/>
      <c r="F15" s="13" t="n"/>
      <c r="G15" s="14" t="n"/>
      <c r="H15" s="14" t="n"/>
      <c r="I15" s="13" t="n"/>
      <c r="J15" s="13" t="n"/>
      <c r="K15" s="13" t="n"/>
      <c r="L15" s="13" t="n"/>
    </row>
    <row r="16">
      <c r="A16" s="13" t="n"/>
      <c r="B16" s="13" t="n"/>
      <c r="C16" s="13" t="n"/>
      <c r="D16" s="13" t="n"/>
      <c r="E16" s="13" t="n"/>
      <c r="F16" s="13" t="n"/>
      <c r="G16" s="14" t="n"/>
      <c r="H16" s="14" t="n"/>
      <c r="I16" s="13" t="n"/>
      <c r="J16" s="13" t="n"/>
      <c r="K16" s="13" t="n"/>
      <c r="L16" s="13" t="n"/>
    </row>
    <row r="17">
      <c r="A17" s="13" t="n"/>
      <c r="B17" s="13" t="n"/>
      <c r="C17" s="13" t="n"/>
      <c r="D17" s="13" t="n"/>
      <c r="E17" s="13" t="n"/>
      <c r="F17" s="13" t="n"/>
      <c r="G17" s="14" t="n"/>
      <c r="H17" s="14" t="n"/>
      <c r="I17" s="13" t="n"/>
      <c r="J17" s="13" t="n"/>
      <c r="K17" s="13" t="n"/>
      <c r="L17" s="13" t="n"/>
    </row>
    <row r="18">
      <c r="A18" s="13" t="n"/>
      <c r="B18" s="13" t="n"/>
      <c r="C18" s="13" t="n"/>
      <c r="D18" s="13" t="n"/>
      <c r="E18" s="13" t="n"/>
      <c r="F18" s="13" t="n"/>
      <c r="G18" s="14" t="n"/>
      <c r="H18" s="14" t="n"/>
      <c r="I18" s="13" t="n"/>
      <c r="J18" s="13" t="n"/>
      <c r="K18" s="13" t="n"/>
      <c r="L18" s="13" t="n"/>
    </row>
    <row r="19">
      <c r="A19" s="13" t="n"/>
      <c r="B19" s="13" t="n"/>
      <c r="C19" s="13" t="n"/>
      <c r="D19" s="13" t="n"/>
      <c r="E19" s="13" t="n"/>
      <c r="F19" s="13" t="n"/>
      <c r="G19" s="14" t="n"/>
      <c r="H19" s="14" t="n"/>
      <c r="I19" s="13" t="n"/>
      <c r="J19" s="13" t="n"/>
      <c r="K19" s="13" t="n"/>
      <c r="L19" s="13" t="n"/>
    </row>
    <row r="20">
      <c r="A20" s="13" t="n"/>
      <c r="B20" s="13" t="n"/>
      <c r="C20" s="13" t="n"/>
      <c r="D20" s="13" t="n"/>
      <c r="E20" s="13" t="n"/>
      <c r="F20" s="13" t="n"/>
      <c r="G20" s="14" t="n"/>
      <c r="H20" s="14" t="n"/>
      <c r="I20" s="13" t="n"/>
      <c r="J20" s="13" t="n"/>
      <c r="K20" s="13" t="n"/>
      <c r="L20" s="13" t="n"/>
    </row>
    <row r="21">
      <c r="A21" s="13" t="n"/>
      <c r="B21" s="13" t="n"/>
      <c r="C21" s="13" t="n"/>
      <c r="D21" s="13" t="n"/>
      <c r="E21" s="13" t="n"/>
      <c r="F21" s="13" t="n"/>
      <c r="G21" s="14" t="n"/>
      <c r="H21" s="14" t="n"/>
      <c r="I21" s="13" t="n"/>
      <c r="J21" s="13" t="n"/>
      <c r="K21" s="13" t="n"/>
      <c r="L21" s="13" t="n"/>
    </row>
    <row r="22">
      <c r="A22" s="13" t="n"/>
      <c r="B22" s="13" t="n"/>
      <c r="C22" s="13" t="n"/>
      <c r="D22" s="13" t="n"/>
      <c r="E22" s="13" t="n"/>
      <c r="F22" s="13" t="n"/>
      <c r="G22" s="14" t="n"/>
      <c r="H22" s="14" t="n"/>
      <c r="I22" s="13" t="n"/>
      <c r="J22" s="13" t="n"/>
      <c r="K22" s="13" t="n"/>
      <c r="L22" s="13" t="n"/>
    </row>
    <row r="23">
      <c r="A23" s="13" t="n"/>
      <c r="B23" s="13" t="n"/>
      <c r="C23" s="13" t="n"/>
      <c r="D23" s="13" t="n"/>
      <c r="E23" s="13" t="n"/>
      <c r="F23" s="13" t="n"/>
      <c r="G23" s="14" t="n"/>
      <c r="H23" s="14" t="n"/>
      <c r="I23" s="13" t="n"/>
      <c r="J23" s="13" t="n"/>
      <c r="K23" s="13" t="n"/>
      <c r="L23" s="13" t="n"/>
    </row>
    <row r="24">
      <c r="A24" s="13" t="n"/>
      <c r="B24" s="13" t="n"/>
      <c r="C24" s="13" t="n"/>
      <c r="D24" s="13" t="n"/>
      <c r="E24" s="13" t="n"/>
      <c r="F24" s="13" t="n"/>
      <c r="G24" s="14" t="n"/>
      <c r="H24" s="14" t="n"/>
      <c r="I24" s="13" t="n"/>
      <c r="J24" s="13" t="n"/>
      <c r="K24" s="13" t="n"/>
      <c r="L24" s="13" t="n"/>
    </row>
    <row r="25">
      <c r="A25" s="13" t="n"/>
      <c r="B25" s="13" t="n"/>
      <c r="C25" s="13" t="n"/>
      <c r="D25" s="13" t="n"/>
      <c r="E25" s="13" t="n"/>
      <c r="F25" s="13" t="n"/>
      <c r="G25" s="14" t="n"/>
      <c r="H25" s="14" t="n"/>
      <c r="I25" s="13" t="n"/>
      <c r="J25" s="13" t="n"/>
      <c r="K25" s="13" t="n"/>
      <c r="L25" s="13" t="n"/>
    </row>
    <row r="26">
      <c r="A26" s="13" t="n"/>
      <c r="B26" s="13" t="n"/>
      <c r="C26" s="13" t="n"/>
      <c r="D26" s="13" t="n"/>
      <c r="E26" s="13" t="n"/>
      <c r="F26" s="13" t="n"/>
      <c r="G26" s="14" t="n"/>
      <c r="H26" s="14" t="n"/>
      <c r="I26" s="13" t="n"/>
      <c r="J26" s="13" t="n"/>
      <c r="K26" s="13" t="n"/>
      <c r="L26" s="13" t="n"/>
    </row>
    <row r="27">
      <c r="A27" s="13" t="n"/>
      <c r="B27" s="13" t="n"/>
      <c r="C27" s="13" t="n"/>
      <c r="D27" s="13" t="n"/>
      <c r="E27" s="13" t="n"/>
      <c r="F27" s="13" t="n"/>
      <c r="G27" s="14" t="n"/>
      <c r="H27" s="14" t="n"/>
      <c r="I27" s="13" t="n"/>
      <c r="J27" s="13" t="n"/>
      <c r="K27" s="13" t="n"/>
      <c r="L27" s="13" t="n"/>
    </row>
    <row r="28">
      <c r="A28" s="13" t="n"/>
      <c r="B28" s="13" t="n"/>
      <c r="C28" s="13" t="n"/>
      <c r="D28" s="13" t="n"/>
      <c r="E28" s="13" t="n"/>
      <c r="F28" s="13" t="n"/>
      <c r="G28" s="14" t="n"/>
      <c r="H28" s="14" t="n"/>
      <c r="I28" s="13" t="n"/>
      <c r="J28" s="13" t="n"/>
      <c r="K28" s="13" t="n"/>
      <c r="L28" s="13" t="n"/>
    </row>
    <row r="29">
      <c r="A29" s="13" t="n"/>
      <c r="B29" s="13" t="n"/>
      <c r="C29" s="13" t="n"/>
      <c r="D29" s="13" t="n"/>
      <c r="E29" s="13" t="n"/>
      <c r="F29" s="13" t="n"/>
      <c r="G29" s="14" t="n"/>
      <c r="H29" s="14" t="n"/>
      <c r="I29" s="13" t="n"/>
      <c r="J29" s="13" t="n"/>
      <c r="K29" s="13" t="n"/>
      <c r="L29" s="13" t="n"/>
    </row>
    <row r="30">
      <c r="A30" s="13" t="n"/>
      <c r="B30" s="13" t="n"/>
      <c r="C30" s="13" t="n"/>
      <c r="D30" s="13" t="n"/>
      <c r="E30" s="13" t="n"/>
      <c r="F30" s="13" t="n"/>
      <c r="G30" s="14" t="n"/>
      <c r="H30" s="14" t="n"/>
      <c r="I30" s="13" t="n"/>
      <c r="J30" s="13" t="n"/>
      <c r="K30" s="13" t="n"/>
      <c r="L30" s="13" t="n"/>
    </row>
    <row r="31">
      <c r="A31" s="13" t="n"/>
      <c r="B31" s="13" t="n"/>
      <c r="C31" s="13" t="n"/>
      <c r="D31" s="13" t="n"/>
      <c r="E31" s="13" t="n"/>
      <c r="F31" s="13" t="n"/>
      <c r="G31" s="14" t="n"/>
      <c r="H31" s="14" t="n"/>
      <c r="I31" s="13" t="n"/>
      <c r="J31" s="13" t="n"/>
      <c r="K31" s="13" t="n"/>
      <c r="L31" s="13" t="n"/>
    </row>
    <row r="32">
      <c r="A32" s="13" t="n"/>
      <c r="B32" s="13" t="n"/>
      <c r="C32" s="13" t="n"/>
      <c r="D32" s="13" t="n"/>
      <c r="E32" s="13" t="n"/>
      <c r="F32" s="13" t="n"/>
      <c r="G32" s="14" t="n"/>
      <c r="H32" s="14" t="n"/>
      <c r="I32" s="13" t="n"/>
      <c r="J32" s="13" t="n"/>
      <c r="K32" s="13" t="n"/>
      <c r="L32" s="13" t="n"/>
    </row>
    <row r="33">
      <c r="A33" s="13" t="n"/>
      <c r="B33" s="13" t="n"/>
      <c r="C33" s="13" t="n"/>
      <c r="D33" s="13" t="n"/>
      <c r="E33" s="13" t="n"/>
      <c r="F33" s="13" t="n"/>
      <c r="G33" s="14" t="n"/>
      <c r="H33" s="14" t="n"/>
      <c r="I33" s="13" t="n"/>
      <c r="J33" s="13" t="n"/>
      <c r="K33" s="13" t="n"/>
      <c r="L33" s="13" t="n"/>
    </row>
    <row r="34">
      <c r="A34" s="13" t="n"/>
      <c r="B34" s="13" t="n"/>
      <c r="C34" s="13" t="n"/>
      <c r="D34" s="13" t="n"/>
      <c r="E34" s="13" t="n"/>
      <c r="F34" s="13" t="n"/>
      <c r="G34" s="14" t="n"/>
      <c r="H34" s="14" t="n"/>
      <c r="I34" s="13" t="n"/>
      <c r="J34" s="13" t="n"/>
      <c r="K34" s="13" t="n"/>
      <c r="L34" s="13" t="n"/>
    </row>
    <row r="35">
      <c r="A35" s="13" t="n"/>
      <c r="B35" s="13" t="n"/>
      <c r="C35" s="13" t="n"/>
      <c r="D35" s="13" t="n"/>
      <c r="E35" s="13" t="n"/>
      <c r="F35" s="13" t="n"/>
      <c r="G35" s="14" t="n"/>
      <c r="H35" s="14" t="n"/>
      <c r="I35" s="13" t="n"/>
      <c r="J35" s="13" t="n"/>
      <c r="K35" s="13" t="n"/>
      <c r="L35" s="13" t="n"/>
    </row>
    <row r="36">
      <c r="A36" s="13" t="n"/>
      <c r="B36" s="13" t="n"/>
      <c r="C36" s="13" t="n"/>
      <c r="D36" s="13" t="n"/>
      <c r="E36" s="13" t="n"/>
      <c r="F36" s="13" t="n"/>
      <c r="G36" s="14" t="n"/>
      <c r="H36" s="14" t="n"/>
      <c r="I36" s="13" t="n"/>
      <c r="J36" s="13" t="n"/>
      <c r="K36" s="13" t="n"/>
      <c r="L36" s="13" t="n"/>
    </row>
    <row r="37">
      <c r="A37" s="13" t="n"/>
      <c r="B37" s="13" t="n"/>
      <c r="C37" s="13" t="n"/>
      <c r="D37" s="13" t="n"/>
      <c r="E37" s="13" t="n"/>
      <c r="F37" s="13" t="n"/>
      <c r="G37" s="14" t="n"/>
      <c r="H37" s="14" t="n"/>
      <c r="I37" s="13" t="n"/>
      <c r="J37" s="13" t="n"/>
      <c r="K37" s="13" t="n"/>
      <c r="L37" s="13" t="n"/>
    </row>
    <row r="38">
      <c r="A38" s="13" t="n"/>
      <c r="B38" s="13" t="n"/>
      <c r="C38" s="13" t="n"/>
      <c r="D38" s="13" t="n"/>
      <c r="E38" s="13" t="n"/>
      <c r="F38" s="13" t="n"/>
      <c r="G38" s="14" t="n"/>
      <c r="H38" s="14" t="n"/>
      <c r="I38" s="13" t="n"/>
      <c r="J38" s="13" t="n"/>
      <c r="K38" s="13" t="n"/>
      <c r="L38" s="13" t="n"/>
    </row>
    <row r="39">
      <c r="A39" s="13" t="n"/>
      <c r="B39" s="13" t="n"/>
      <c r="C39" s="13" t="n"/>
      <c r="D39" s="13" t="n"/>
      <c r="E39" s="13" t="n"/>
      <c r="F39" s="13" t="n"/>
      <c r="G39" s="14" t="n"/>
      <c r="H39" s="14" t="n"/>
      <c r="I39" s="13" t="n"/>
      <c r="J39" s="13" t="n"/>
      <c r="K39" s="13" t="n"/>
      <c r="L39" s="13" t="n"/>
    </row>
    <row r="40">
      <c r="A40" s="13" t="n"/>
      <c r="B40" s="13" t="n"/>
      <c r="C40" s="13" t="n"/>
      <c r="D40" s="13" t="n"/>
      <c r="E40" s="13" t="n"/>
      <c r="F40" s="13" t="n"/>
      <c r="G40" s="14" t="n"/>
      <c r="H40" s="14" t="n"/>
      <c r="I40" s="13" t="n"/>
      <c r="J40" s="13" t="n"/>
      <c r="K40" s="13" t="n"/>
      <c r="L40" s="13" t="n"/>
    </row>
    <row r="41">
      <c r="A41" s="13" t="n"/>
      <c r="B41" s="13" t="n"/>
      <c r="C41" s="13" t="n"/>
      <c r="D41" s="13" t="n"/>
      <c r="E41" s="13" t="n"/>
      <c r="F41" s="13" t="n"/>
      <c r="G41" s="14" t="n"/>
      <c r="H41" s="14" t="n"/>
      <c r="I41" s="13" t="n"/>
      <c r="J41" s="13" t="n"/>
      <c r="K41" s="13" t="n"/>
      <c r="L41" s="13" t="n"/>
    </row>
    <row r="42">
      <c r="A42" s="13" t="n"/>
      <c r="B42" s="13" t="n"/>
      <c r="C42" s="13" t="n"/>
      <c r="D42" s="13" t="n"/>
      <c r="E42" s="13" t="n"/>
      <c r="F42" s="13" t="n"/>
      <c r="G42" s="14" t="n"/>
      <c r="H42" s="14" t="n"/>
      <c r="I42" s="13" t="n"/>
      <c r="J42" s="13" t="n"/>
      <c r="K42" s="13" t="n"/>
      <c r="L42" s="13" t="n"/>
    </row>
    <row r="43">
      <c r="A43" s="13" t="n"/>
      <c r="B43" s="13" t="n"/>
      <c r="C43" s="13" t="n"/>
      <c r="D43" s="13" t="n"/>
      <c r="E43" s="13" t="n"/>
      <c r="F43" s="13" t="n"/>
      <c r="G43" s="14" t="n"/>
      <c r="H43" s="14" t="n"/>
      <c r="I43" s="13" t="n"/>
      <c r="J43" s="13" t="n"/>
      <c r="K43" s="13" t="n"/>
      <c r="L43" s="13" t="n"/>
    </row>
    <row r="44">
      <c r="A44" s="13" t="n"/>
      <c r="B44" s="13" t="n"/>
      <c r="C44" s="13" t="n"/>
      <c r="D44" s="13" t="n"/>
      <c r="E44" s="13" t="n"/>
      <c r="F44" s="13" t="n"/>
      <c r="G44" s="14" t="n"/>
      <c r="H44" s="14" t="n"/>
      <c r="I44" s="13" t="n"/>
      <c r="J44" s="13" t="n"/>
      <c r="K44" s="13" t="n"/>
      <c r="L44" s="13" t="n"/>
    </row>
    <row r="45">
      <c r="A45" s="13" t="n"/>
      <c r="B45" s="13" t="n"/>
      <c r="C45" s="13" t="n"/>
      <c r="D45" s="13" t="n"/>
      <c r="E45" s="13" t="n"/>
      <c r="F45" s="13" t="n"/>
      <c r="G45" s="14" t="n"/>
      <c r="H45" s="14" t="n"/>
      <c r="I45" s="13" t="n"/>
      <c r="J45" s="13" t="n"/>
      <c r="K45" s="13" t="n"/>
      <c r="L45" s="13" t="n"/>
    </row>
    <row r="46">
      <c r="A46" s="13" t="n"/>
      <c r="B46" s="13" t="n"/>
      <c r="C46" s="13" t="n"/>
      <c r="D46" s="13" t="n"/>
      <c r="E46" s="13" t="n"/>
      <c r="F46" s="13" t="n"/>
      <c r="G46" s="14" t="n"/>
      <c r="H46" s="14" t="n"/>
      <c r="I46" s="13" t="n"/>
      <c r="J46" s="13" t="n"/>
      <c r="K46" s="13" t="n"/>
      <c r="L46" s="13" t="n"/>
    </row>
    <row r="47">
      <c r="A47" s="13" t="n"/>
      <c r="B47" s="13" t="n"/>
      <c r="C47" s="13" t="n"/>
      <c r="D47" s="13" t="n"/>
      <c r="E47" s="13" t="n"/>
      <c r="F47" s="13" t="n"/>
      <c r="G47" s="14" t="n"/>
      <c r="H47" s="14" t="n"/>
      <c r="I47" s="13" t="n"/>
      <c r="J47" s="13" t="n"/>
      <c r="K47" s="13" t="n"/>
      <c r="L47" s="13" t="n"/>
    </row>
    <row r="48">
      <c r="A48" s="13" t="n"/>
      <c r="B48" s="13" t="n"/>
      <c r="C48" s="13" t="n"/>
      <c r="D48" s="13" t="n"/>
      <c r="E48" s="13" t="n"/>
      <c r="F48" s="13" t="n"/>
      <c r="G48" s="14" t="n"/>
      <c r="H48" s="14" t="n"/>
      <c r="I48" s="13" t="n"/>
      <c r="J48" s="13" t="n"/>
      <c r="K48" s="13" t="n"/>
      <c r="L48" s="13" t="n"/>
    </row>
    <row r="49">
      <c r="A49" s="13" t="n"/>
      <c r="B49" s="13" t="n"/>
      <c r="C49" s="13" t="n"/>
      <c r="D49" s="13" t="n"/>
      <c r="E49" s="13" t="n"/>
      <c r="F49" s="13" t="n"/>
      <c r="G49" s="14" t="n"/>
      <c r="H49" s="14" t="n"/>
      <c r="I49" s="13" t="n"/>
      <c r="J49" s="13" t="n"/>
      <c r="K49" s="13" t="n"/>
      <c r="L49" s="13" t="n"/>
    </row>
    <row r="50">
      <c r="A50" s="13" t="n"/>
      <c r="B50" s="13" t="n"/>
      <c r="C50" s="13" t="n"/>
      <c r="D50" s="13" t="n"/>
      <c r="E50" s="13" t="n"/>
      <c r="F50" s="13" t="n"/>
      <c r="G50" s="14" t="n"/>
      <c r="H50" s="14" t="n"/>
      <c r="I50" s="13" t="n"/>
      <c r="J50" s="13" t="n"/>
      <c r="K50" s="13" t="n"/>
      <c r="L50" s="13" t="n"/>
    </row>
    <row r="51">
      <c r="A51" s="13" t="n"/>
      <c r="B51" s="13" t="n"/>
      <c r="C51" s="13" t="n"/>
      <c r="D51" s="13" t="n"/>
      <c r="E51" s="13" t="n"/>
      <c r="F51" s="13" t="n"/>
      <c r="G51" s="14" t="n"/>
      <c r="H51" s="14" t="n"/>
      <c r="I51" s="13" t="n"/>
      <c r="J51" s="13" t="n"/>
      <c r="K51" s="13" t="n"/>
      <c r="L51" s="13" t="n"/>
    </row>
    <row r="52">
      <c r="A52" s="13" t="n"/>
      <c r="B52" s="13" t="n"/>
      <c r="C52" s="13" t="n"/>
      <c r="D52" s="13" t="n"/>
      <c r="E52" s="13" t="n"/>
      <c r="F52" s="13" t="n"/>
      <c r="G52" s="14" t="n"/>
      <c r="H52" s="14" t="n"/>
      <c r="I52" s="13" t="n"/>
      <c r="J52" s="13" t="n"/>
      <c r="K52" s="13" t="n"/>
      <c r="L52" s="13" t="n"/>
    </row>
    <row r="53">
      <c r="A53" s="13" t="n"/>
      <c r="B53" s="13" t="n"/>
      <c r="C53" s="13" t="n"/>
      <c r="D53" s="13" t="n"/>
      <c r="E53" s="13" t="n"/>
      <c r="F53" s="13" t="n"/>
      <c r="G53" s="14" t="n"/>
      <c r="H53" s="14" t="n"/>
      <c r="I53" s="13" t="n"/>
      <c r="J53" s="13" t="n"/>
      <c r="K53" s="13" t="n"/>
      <c r="L53" s="13" t="n"/>
    </row>
    <row r="54">
      <c r="A54" s="13" t="n"/>
      <c r="B54" s="13" t="n"/>
      <c r="C54" s="13" t="n"/>
      <c r="D54" s="13" t="n"/>
      <c r="E54" s="13" t="n"/>
      <c r="F54" s="13" t="n"/>
      <c r="G54" s="14" t="n"/>
      <c r="H54" s="14" t="n"/>
      <c r="I54" s="13" t="n"/>
      <c r="J54" s="13" t="n"/>
      <c r="K54" s="13" t="n"/>
      <c r="L54" s="13" t="n"/>
    </row>
    <row r="55">
      <c r="A55" s="13" t="n"/>
      <c r="B55" s="13" t="n"/>
      <c r="C55" s="13" t="n"/>
      <c r="D55" s="13" t="n"/>
      <c r="E55" s="13" t="n"/>
      <c r="F55" s="13" t="n"/>
      <c r="G55" s="14" t="n"/>
      <c r="H55" s="14" t="n"/>
      <c r="I55" s="13" t="n"/>
      <c r="J55" s="13" t="n"/>
      <c r="K55" s="13" t="n"/>
      <c r="L55" s="13" t="n"/>
    </row>
    <row r="56">
      <c r="A56" s="13" t="n"/>
      <c r="B56" s="13" t="n"/>
      <c r="C56" s="13" t="n"/>
      <c r="D56" s="13" t="n"/>
      <c r="E56" s="13" t="n"/>
      <c r="F56" s="13" t="n"/>
      <c r="G56" s="14" t="n"/>
      <c r="H56" s="14" t="n"/>
      <c r="I56" s="13" t="n"/>
      <c r="J56" s="13" t="n"/>
      <c r="K56" s="13" t="n"/>
      <c r="L56" s="13" t="n"/>
    </row>
    <row r="57">
      <c r="A57" s="13" t="n"/>
      <c r="B57" s="13" t="n"/>
      <c r="C57" s="13" t="n"/>
      <c r="D57" s="13" t="n"/>
      <c r="E57" s="13" t="n"/>
      <c r="F57" s="13" t="n"/>
      <c r="G57" s="14" t="n"/>
      <c r="H57" s="14" t="n"/>
      <c r="I57" s="13" t="n"/>
      <c r="J57" s="13" t="n"/>
      <c r="K57" s="13" t="n"/>
      <c r="L57" s="13" t="n"/>
    </row>
    <row r="58">
      <c r="A58" s="13" t="n"/>
      <c r="B58" s="13" t="n"/>
      <c r="C58" s="13" t="n"/>
      <c r="D58" s="13" t="n"/>
      <c r="E58" s="13" t="n"/>
      <c r="F58" s="13" t="n"/>
      <c r="G58" s="14" t="n"/>
      <c r="H58" s="14" t="n"/>
      <c r="I58" s="13" t="n"/>
      <c r="J58" s="13" t="n"/>
      <c r="K58" s="13" t="n"/>
      <c r="L58" s="13" t="n"/>
    </row>
    <row r="59">
      <c r="A59" s="13" t="n"/>
      <c r="B59" s="13" t="n"/>
      <c r="C59" s="13" t="n"/>
      <c r="D59" s="13" t="n"/>
      <c r="E59" s="13" t="n"/>
      <c r="F59" s="13" t="n"/>
      <c r="G59" s="14" t="n"/>
      <c r="H59" s="14" t="n"/>
      <c r="I59" s="13" t="n"/>
      <c r="J59" s="13" t="n"/>
      <c r="K59" s="13" t="n"/>
      <c r="L59" s="13" t="n"/>
    </row>
    <row r="60">
      <c r="A60" s="13" t="n"/>
      <c r="B60" s="13" t="n"/>
      <c r="C60" s="13" t="n"/>
      <c r="D60" s="13" t="n"/>
      <c r="E60" s="13" t="n"/>
      <c r="F60" s="13" t="n"/>
      <c r="G60" s="14" t="n"/>
      <c r="H60" s="14" t="n"/>
      <c r="I60" s="13" t="n"/>
      <c r="J60" s="13" t="n"/>
      <c r="K60" s="13" t="n"/>
      <c r="L60" s="13" t="n"/>
    </row>
    <row r="61">
      <c r="A61" s="13" t="n"/>
      <c r="B61" s="13" t="n"/>
      <c r="C61" s="13" t="n"/>
      <c r="D61" s="13" t="n"/>
      <c r="E61" s="13" t="n"/>
      <c r="F61" s="13" t="n"/>
      <c r="G61" s="14" t="n"/>
      <c r="H61" s="14" t="n"/>
      <c r="I61" s="13" t="n"/>
      <c r="J61" s="13" t="n"/>
      <c r="K61" s="13" t="n"/>
      <c r="L61" s="13" t="n"/>
    </row>
    <row r="62">
      <c r="A62" s="13" t="n"/>
      <c r="B62" s="13" t="n"/>
      <c r="C62" s="13" t="n"/>
      <c r="D62" s="13" t="n"/>
      <c r="E62" s="13" t="n"/>
      <c r="F62" s="13" t="n"/>
      <c r="G62" s="14" t="n"/>
      <c r="H62" s="14" t="n"/>
      <c r="I62" s="13" t="n"/>
      <c r="J62" s="13" t="n"/>
      <c r="K62" s="13" t="n"/>
      <c r="L62" s="13" t="n"/>
    </row>
    <row r="63">
      <c r="A63" s="13" t="n"/>
      <c r="B63" s="13" t="n"/>
      <c r="C63" s="13" t="n"/>
      <c r="D63" s="13" t="n"/>
      <c r="E63" s="13" t="n"/>
      <c r="F63" s="13" t="n"/>
      <c r="G63" s="14" t="n"/>
      <c r="H63" s="14" t="n"/>
      <c r="I63" s="13" t="n"/>
      <c r="J63" s="13" t="n"/>
      <c r="K63" s="13" t="n"/>
      <c r="L63" s="13" t="n"/>
    </row>
    <row r="64">
      <c r="A64" s="13" t="n"/>
      <c r="B64" s="13" t="n"/>
      <c r="C64" s="13" t="n"/>
      <c r="D64" s="13" t="n"/>
      <c r="E64" s="13" t="n"/>
      <c r="F64" s="13" t="n"/>
      <c r="G64" s="14" t="n"/>
      <c r="H64" s="14" t="n"/>
      <c r="I64" s="13" t="n"/>
      <c r="J64" s="13" t="n"/>
      <c r="K64" s="13" t="n"/>
      <c r="L64" s="13" t="n"/>
    </row>
    <row r="65">
      <c r="A65" s="13" t="n"/>
      <c r="B65" s="13" t="n"/>
      <c r="C65" s="13" t="n"/>
      <c r="D65" s="13" t="n"/>
      <c r="E65" s="13" t="n"/>
      <c r="F65" s="13" t="n"/>
      <c r="G65" s="14" t="n"/>
      <c r="H65" s="14" t="n"/>
      <c r="I65" s="13" t="n"/>
      <c r="J65" s="13" t="n"/>
      <c r="K65" s="13" t="n"/>
      <c r="L65" s="13" t="n"/>
    </row>
    <row r="66">
      <c r="A66" s="13" t="n"/>
      <c r="B66" s="13" t="n"/>
      <c r="C66" s="13" t="n"/>
      <c r="D66" s="13" t="n"/>
      <c r="E66" s="13" t="n"/>
      <c r="F66" s="13" t="n"/>
      <c r="G66" s="14" t="n"/>
      <c r="H66" s="14" t="n"/>
      <c r="I66" s="13" t="n"/>
      <c r="J66" s="13" t="n"/>
      <c r="K66" s="13" t="n"/>
      <c r="L66" s="13" t="n"/>
    </row>
    <row r="67">
      <c r="A67" s="13" t="n"/>
      <c r="B67" s="13" t="n"/>
      <c r="C67" s="13" t="n"/>
      <c r="D67" s="13" t="n"/>
      <c r="E67" s="13" t="n"/>
      <c r="F67" s="13" t="n"/>
      <c r="G67" s="14" t="n"/>
      <c r="H67" s="14" t="n"/>
      <c r="I67" s="13" t="n"/>
      <c r="J67" s="13" t="n"/>
      <c r="K67" s="13" t="n"/>
      <c r="L67" s="13" t="n"/>
    </row>
    <row r="68">
      <c r="A68" s="13" t="n"/>
      <c r="B68" s="13" t="n"/>
      <c r="C68" s="13" t="n"/>
      <c r="D68" s="13" t="n"/>
      <c r="E68" s="13" t="n"/>
      <c r="F68" s="13" t="n"/>
      <c r="G68" s="14" t="n"/>
      <c r="H68" s="14" t="n"/>
      <c r="I68" s="13" t="n"/>
      <c r="J68" s="13" t="n"/>
      <c r="K68" s="13" t="n"/>
      <c r="L68" s="13" t="n"/>
    </row>
    <row r="69">
      <c r="A69" s="13" t="n"/>
      <c r="B69" s="13" t="n"/>
      <c r="C69" s="13" t="n"/>
      <c r="D69" s="13" t="n"/>
      <c r="E69" s="13" t="n"/>
      <c r="F69" s="13" t="n"/>
      <c r="G69" s="14" t="n"/>
      <c r="H69" s="14" t="n"/>
      <c r="I69" s="13" t="n"/>
      <c r="J69" s="13" t="n"/>
      <c r="K69" s="13" t="n"/>
      <c r="L69" s="13" t="n"/>
    </row>
    <row r="70">
      <c r="A70" s="13" t="n"/>
      <c r="B70" s="13" t="n"/>
      <c r="C70" s="13" t="n"/>
      <c r="D70" s="13" t="n"/>
      <c r="E70" s="13" t="n"/>
      <c r="F70" s="13" t="n"/>
      <c r="G70" s="14" t="n"/>
      <c r="H70" s="14" t="n"/>
      <c r="I70" s="13" t="n"/>
      <c r="J70" s="13" t="n"/>
      <c r="K70" s="13" t="n"/>
      <c r="L70" s="13" t="n"/>
    </row>
    <row r="71">
      <c r="A71" s="13" t="n"/>
      <c r="B71" s="13" t="n"/>
      <c r="C71" s="13" t="n"/>
      <c r="D71" s="13" t="n"/>
      <c r="E71" s="13" t="n"/>
      <c r="F71" s="13" t="n"/>
      <c r="G71" s="14" t="n"/>
      <c r="H71" s="14" t="n"/>
      <c r="I71" s="13" t="n"/>
      <c r="J71" s="13" t="n"/>
      <c r="K71" s="13" t="n"/>
      <c r="L71" s="13" t="n"/>
    </row>
    <row r="72">
      <c r="A72" s="13" t="n"/>
      <c r="B72" s="13" t="n"/>
      <c r="C72" s="13" t="n"/>
      <c r="D72" s="13" t="n"/>
      <c r="E72" s="13" t="n"/>
      <c r="F72" s="13" t="n"/>
      <c r="G72" s="14" t="n"/>
      <c r="H72" s="14" t="n"/>
      <c r="I72" s="13" t="n"/>
      <c r="J72" s="13" t="n"/>
      <c r="K72" s="13" t="n"/>
      <c r="L72" s="13" t="n"/>
    </row>
    <row r="73">
      <c r="A73" s="13" t="n"/>
      <c r="B73" s="13" t="n"/>
      <c r="C73" s="13" t="n"/>
      <c r="D73" s="13" t="n"/>
      <c r="E73" s="13" t="n"/>
      <c r="F73" s="13" t="n"/>
      <c r="G73" s="14" t="n"/>
      <c r="H73" s="14" t="n"/>
      <c r="I73" s="13" t="n"/>
      <c r="J73" s="13" t="n"/>
      <c r="K73" s="13" t="n"/>
      <c r="L73" s="13" t="n"/>
    </row>
    <row r="74">
      <c r="A74" s="13" t="n"/>
      <c r="B74" s="13" t="n"/>
      <c r="C74" s="13" t="n"/>
      <c r="D74" s="13" t="n"/>
      <c r="E74" s="13" t="n"/>
      <c r="F74" s="13" t="n"/>
      <c r="G74" s="14" t="n"/>
      <c r="H74" s="14" t="n"/>
      <c r="I74" s="13" t="n"/>
      <c r="J74" s="13" t="n"/>
      <c r="K74" s="13" t="n"/>
      <c r="L74" s="13" t="n"/>
    </row>
    <row r="75">
      <c r="A75" s="13" t="n"/>
      <c r="B75" s="13" t="n"/>
      <c r="C75" s="13" t="n"/>
      <c r="D75" s="13" t="n"/>
      <c r="E75" s="13" t="n"/>
      <c r="F75" s="13" t="n"/>
      <c r="G75" s="14" t="n"/>
      <c r="H75" s="14" t="n"/>
      <c r="I75" s="13" t="n"/>
      <c r="J75" s="13" t="n"/>
      <c r="K75" s="13" t="n"/>
      <c r="L75" s="13" t="n"/>
    </row>
    <row r="76">
      <c r="A76" s="13" t="n"/>
      <c r="B76" s="13" t="n"/>
      <c r="C76" s="13" t="n"/>
      <c r="D76" s="13" t="n"/>
      <c r="E76" s="13" t="n"/>
      <c r="F76" s="13" t="n"/>
      <c r="G76" s="14" t="n"/>
      <c r="H76" s="14" t="n"/>
      <c r="I76" s="13" t="n"/>
      <c r="J76" s="13" t="n"/>
      <c r="K76" s="13" t="n"/>
      <c r="L76" s="13" t="n"/>
    </row>
    <row r="77">
      <c r="A77" s="13" t="n"/>
      <c r="B77" s="13" t="n"/>
      <c r="C77" s="13" t="n"/>
      <c r="D77" s="13" t="n"/>
      <c r="E77" s="13" t="n"/>
      <c r="F77" s="13" t="n"/>
      <c r="G77" s="14" t="n"/>
      <c r="H77" s="14" t="n"/>
      <c r="I77" s="13" t="n"/>
      <c r="J77" s="13" t="n"/>
      <c r="K77" s="13" t="n"/>
      <c r="L77" s="13" t="n"/>
    </row>
    <row r="78">
      <c r="A78" s="13" t="n"/>
      <c r="B78" s="13" t="n"/>
      <c r="C78" s="13" t="n"/>
      <c r="D78" s="13" t="n"/>
      <c r="E78" s="13" t="n"/>
      <c r="F78" s="13" t="n"/>
      <c r="G78" s="14" t="n"/>
      <c r="H78" s="14" t="n"/>
      <c r="I78" s="13" t="n"/>
      <c r="J78" s="13" t="n"/>
      <c r="K78" s="13" t="n"/>
      <c r="L78" s="13" t="n"/>
    </row>
    <row r="79">
      <c r="A79" s="13" t="n"/>
      <c r="B79" s="13" t="n"/>
      <c r="C79" s="13" t="n"/>
      <c r="D79" s="13" t="n"/>
      <c r="E79" s="13" t="n"/>
      <c r="F79" s="13" t="n"/>
      <c r="G79" s="14" t="n"/>
      <c r="H79" s="14" t="n"/>
      <c r="I79" s="13" t="n"/>
      <c r="J79" s="13" t="n"/>
      <c r="K79" s="13" t="n"/>
      <c r="L79" s="13" t="n"/>
    </row>
    <row r="80">
      <c r="A80" s="13" t="n"/>
      <c r="B80" s="13" t="n"/>
      <c r="C80" s="13" t="n"/>
      <c r="D80" s="13" t="n"/>
      <c r="E80" s="13" t="n"/>
      <c r="F80" s="13" t="n"/>
      <c r="G80" s="14" t="n"/>
      <c r="H80" s="14" t="n"/>
      <c r="I80" s="13" t="n"/>
      <c r="J80" s="13" t="n"/>
      <c r="K80" s="13" t="n"/>
      <c r="L80" s="13" t="n"/>
    </row>
    <row r="81">
      <c r="A81" s="13" t="n"/>
      <c r="B81" s="13" t="n"/>
      <c r="C81" s="13" t="n"/>
      <c r="D81" s="13" t="n"/>
      <c r="E81" s="13" t="n"/>
      <c r="F81" s="13" t="n"/>
      <c r="G81" s="14" t="n"/>
      <c r="H81" s="14" t="n"/>
      <c r="I81" s="13" t="n"/>
      <c r="J81" s="13" t="n"/>
      <c r="K81" s="13" t="n"/>
      <c r="L81" s="13" t="n"/>
    </row>
    <row r="82">
      <c r="A82" s="13" t="n"/>
      <c r="B82" s="13" t="n"/>
      <c r="C82" s="13" t="n"/>
      <c r="D82" s="13" t="n"/>
      <c r="E82" s="13" t="n"/>
      <c r="F82" s="13" t="n"/>
      <c r="G82" s="14" t="n"/>
      <c r="H82" s="14" t="n"/>
      <c r="I82" s="13" t="n"/>
      <c r="J82" s="13" t="n"/>
      <c r="K82" s="13" t="n"/>
      <c r="L82" s="13" t="n"/>
    </row>
    <row r="83">
      <c r="A83" s="13" t="n"/>
      <c r="B83" s="13" t="n"/>
      <c r="C83" s="13" t="n"/>
      <c r="D83" s="13" t="n"/>
      <c r="E83" s="13" t="n"/>
      <c r="F83" s="13" t="n"/>
      <c r="G83" s="14" t="n"/>
      <c r="H83" s="14" t="n"/>
      <c r="I83" s="13" t="n"/>
      <c r="J83" s="13" t="n"/>
      <c r="K83" s="13" t="n"/>
      <c r="L83" s="13" t="n"/>
    </row>
    <row r="84">
      <c r="A84" s="13" t="n"/>
      <c r="B84" s="13" t="n"/>
      <c r="C84" s="13" t="n"/>
      <c r="D84" s="13" t="n"/>
      <c r="E84" s="13" t="n"/>
      <c r="F84" s="13" t="n"/>
      <c r="G84" s="14" t="n"/>
      <c r="H84" s="14" t="n"/>
      <c r="I84" s="13" t="n"/>
      <c r="J84" s="13" t="n"/>
      <c r="K84" s="13" t="n"/>
      <c r="L84" s="13" t="n"/>
    </row>
    <row r="85">
      <c r="A85" s="13" t="n"/>
      <c r="B85" s="13" t="n"/>
      <c r="C85" s="13" t="n"/>
      <c r="D85" s="13" t="n"/>
      <c r="E85" s="13" t="n"/>
      <c r="F85" s="13" t="n"/>
      <c r="G85" s="14" t="n"/>
      <c r="H85" s="14" t="n"/>
      <c r="I85" s="13" t="n"/>
      <c r="J85" s="13" t="n"/>
      <c r="K85" s="13" t="n"/>
      <c r="L85" s="13" t="n"/>
    </row>
    <row r="86">
      <c r="A86" s="13" t="n"/>
      <c r="B86" s="13" t="n"/>
      <c r="C86" s="13" t="n"/>
      <c r="D86" s="13" t="n"/>
      <c r="E86" s="13" t="n"/>
      <c r="F86" s="13" t="n"/>
      <c r="G86" s="14" t="n"/>
      <c r="H86" s="14" t="n"/>
      <c r="I86" s="13" t="n"/>
      <c r="J86" s="13" t="n"/>
      <c r="K86" s="13" t="n"/>
      <c r="L86" s="13" t="n"/>
    </row>
    <row r="87">
      <c r="A87" s="13" t="n"/>
      <c r="B87" s="13" t="n"/>
      <c r="C87" s="13" t="n"/>
      <c r="D87" s="13" t="n"/>
      <c r="E87" s="13" t="n"/>
      <c r="F87" s="13" t="n"/>
      <c r="G87" s="14" t="n"/>
      <c r="H87" s="14" t="n"/>
      <c r="I87" s="13" t="n"/>
      <c r="J87" s="13" t="n"/>
      <c r="K87" s="13" t="n"/>
      <c r="L87" s="13" t="n"/>
    </row>
    <row r="88">
      <c r="A88" s="13" t="n"/>
      <c r="B88" s="13" t="n"/>
      <c r="C88" s="13" t="n"/>
      <c r="D88" s="13" t="n"/>
      <c r="E88" s="13" t="n"/>
      <c r="F88" s="13" t="n"/>
      <c r="G88" s="14" t="n"/>
      <c r="H88" s="14" t="n"/>
      <c r="I88" s="13" t="n"/>
      <c r="J88" s="13" t="n"/>
      <c r="K88" s="13" t="n"/>
      <c r="L88" s="13" t="n"/>
    </row>
    <row r="89">
      <c r="A89" s="13" t="n"/>
      <c r="B89" s="13" t="n"/>
      <c r="C89" s="13" t="n"/>
      <c r="D89" s="13" t="n"/>
      <c r="E89" s="13" t="n"/>
      <c r="F89" s="13" t="n"/>
      <c r="G89" s="14" t="n"/>
      <c r="H89" s="14" t="n"/>
      <c r="I89" s="13" t="n"/>
      <c r="J89" s="13" t="n"/>
      <c r="K89" s="13" t="n"/>
      <c r="L89" s="13" t="n"/>
    </row>
    <row r="90">
      <c r="A90" s="13" t="n"/>
      <c r="B90" s="13" t="n"/>
      <c r="C90" s="13" t="n"/>
      <c r="D90" s="13" t="n"/>
      <c r="E90" s="13" t="n"/>
      <c r="F90" s="13" t="n"/>
      <c r="G90" s="14" t="n"/>
      <c r="H90" s="14" t="n"/>
      <c r="I90" s="13" t="n"/>
      <c r="J90" s="13" t="n"/>
      <c r="K90" s="13" t="n"/>
      <c r="L90" s="13" t="n"/>
    </row>
    <row r="91">
      <c r="A91" s="13" t="n"/>
      <c r="B91" s="13" t="n"/>
      <c r="C91" s="13" t="n"/>
      <c r="D91" s="13" t="n"/>
      <c r="E91" s="13" t="n"/>
      <c r="F91" s="13" t="n"/>
      <c r="G91" s="14" t="n"/>
      <c r="H91" s="14" t="n"/>
      <c r="I91" s="13" t="n"/>
      <c r="J91" s="13" t="n"/>
      <c r="K91" s="13" t="n"/>
      <c r="L91" s="13" t="n"/>
    </row>
    <row r="92">
      <c r="A92" s="13" t="n"/>
      <c r="B92" s="13" t="n"/>
      <c r="C92" s="13" t="n"/>
      <c r="D92" s="13" t="n"/>
      <c r="E92" s="13" t="n"/>
      <c r="F92" s="13" t="n"/>
      <c r="G92" s="14" t="n"/>
      <c r="H92" s="14" t="n"/>
      <c r="I92" s="13" t="n"/>
      <c r="J92" s="13" t="n"/>
      <c r="K92" s="13" t="n"/>
      <c r="L92" s="13" t="n"/>
    </row>
    <row r="93">
      <c r="A93" s="13" t="n"/>
      <c r="B93" s="13" t="n"/>
      <c r="C93" s="13" t="n"/>
      <c r="D93" s="13" t="n"/>
      <c r="E93" s="13" t="n"/>
      <c r="F93" s="13" t="n"/>
      <c r="G93" s="14" t="n"/>
      <c r="H93" s="14" t="n"/>
      <c r="I93" s="13" t="n"/>
      <c r="J93" s="13" t="n"/>
      <c r="K93" s="13" t="n"/>
      <c r="L93" s="13" t="n"/>
    </row>
    <row r="94">
      <c r="A94" s="13" t="n"/>
      <c r="B94" s="13" t="n"/>
      <c r="C94" s="13" t="n"/>
      <c r="D94" s="13" t="n"/>
      <c r="E94" s="13" t="n"/>
      <c r="F94" s="13" t="n"/>
      <c r="G94" s="14" t="n"/>
      <c r="H94" s="14" t="n"/>
      <c r="I94" s="13" t="n"/>
      <c r="J94" s="13" t="n"/>
      <c r="K94" s="13" t="n"/>
      <c r="L94" s="13" t="n"/>
    </row>
    <row r="95">
      <c r="A95" s="13" t="n"/>
      <c r="B95" s="13" t="n"/>
      <c r="C95" s="13" t="n"/>
      <c r="D95" s="13" t="n"/>
      <c r="E95" s="13" t="n"/>
      <c r="F95" s="13" t="n"/>
      <c r="G95" s="14" t="n"/>
      <c r="H95" s="14" t="n"/>
      <c r="I95" s="13" t="n"/>
      <c r="J95" s="13" t="n"/>
      <c r="K95" s="13" t="n"/>
      <c r="L95" s="13" t="n"/>
    </row>
    <row r="96">
      <c r="A96" s="13" t="n"/>
      <c r="B96" s="13" t="n"/>
      <c r="C96" s="13" t="n"/>
      <c r="D96" s="13" t="n"/>
      <c r="E96" s="13" t="n"/>
      <c r="F96" s="13" t="n"/>
      <c r="G96" s="14" t="n"/>
      <c r="H96" s="14" t="n"/>
      <c r="I96" s="13" t="n"/>
      <c r="J96" s="13" t="n"/>
      <c r="K96" s="13" t="n"/>
      <c r="L96" s="13" t="n"/>
    </row>
    <row r="97">
      <c r="A97" s="13" t="n"/>
      <c r="B97" s="13" t="n"/>
      <c r="C97" s="13" t="n"/>
      <c r="D97" s="13" t="n"/>
      <c r="E97" s="13" t="n"/>
      <c r="F97" s="13" t="n"/>
      <c r="G97" s="14" t="n"/>
      <c r="H97" s="14" t="n"/>
      <c r="I97" s="13" t="n"/>
      <c r="J97" s="13" t="n"/>
      <c r="K97" s="13" t="n"/>
      <c r="L97" s="13" t="n"/>
    </row>
    <row r="98">
      <c r="A98" s="13" t="n"/>
      <c r="B98" s="13" t="n"/>
      <c r="C98" s="13" t="n"/>
      <c r="D98" s="13" t="n"/>
      <c r="E98" s="13" t="n"/>
      <c r="F98" s="13" t="n"/>
      <c r="G98" s="14" t="n"/>
      <c r="H98" s="14" t="n"/>
      <c r="I98" s="13" t="n"/>
      <c r="J98" s="13" t="n"/>
      <c r="K98" s="13" t="n"/>
      <c r="L98" s="13" t="n"/>
    </row>
    <row r="99">
      <c r="A99" s="13" t="n"/>
      <c r="B99" s="13" t="n"/>
      <c r="C99" s="13" t="n"/>
      <c r="D99" s="13" t="n"/>
      <c r="E99" s="13" t="n"/>
      <c r="F99" s="13" t="n"/>
      <c r="G99" s="14" t="n"/>
      <c r="H99" s="14" t="n"/>
      <c r="I99" s="13" t="n"/>
      <c r="J99" s="13" t="n"/>
      <c r="K99" s="13" t="n"/>
      <c r="L99" s="13" t="n"/>
    </row>
    <row r="100">
      <c r="A100" s="13" t="n"/>
      <c r="B100" s="13" t="n"/>
      <c r="C100" s="13" t="n"/>
      <c r="D100" s="13" t="n"/>
      <c r="E100" s="13" t="n"/>
      <c r="F100" s="13" t="n"/>
      <c r="G100" s="14" t="n"/>
      <c r="H100" s="14" t="n"/>
      <c r="I100" s="13" t="n"/>
      <c r="J100" s="13" t="n"/>
      <c r="K100" s="13" t="n"/>
      <c r="L100" s="13" t="n"/>
    </row>
    <row r="101">
      <c r="A101" s="13" t="n"/>
      <c r="B101" s="13" t="n"/>
      <c r="C101" s="13" t="n"/>
      <c r="D101" s="13" t="n"/>
      <c r="E101" s="13" t="n"/>
      <c r="F101" s="13" t="n"/>
      <c r="G101" s="14" t="n"/>
      <c r="H101" s="14" t="n"/>
      <c r="I101" s="13" t="n"/>
      <c r="J101" s="13" t="n"/>
      <c r="K101" s="13" t="n"/>
      <c r="L101" s="13" t="n"/>
    </row>
    <row r="102">
      <c r="A102" s="13" t="n"/>
      <c r="B102" s="13" t="n"/>
      <c r="C102" s="13" t="n"/>
      <c r="D102" s="13" t="n"/>
      <c r="E102" s="13" t="n"/>
      <c r="F102" s="13" t="n"/>
      <c r="G102" s="14" t="n"/>
      <c r="H102" s="14" t="n"/>
      <c r="I102" s="13" t="n"/>
      <c r="J102" s="13" t="n"/>
      <c r="K102" s="13" t="n"/>
      <c r="L102" s="13" t="n"/>
    </row>
    <row r="103">
      <c r="A103" s="13" t="n"/>
      <c r="B103" s="13" t="n"/>
      <c r="C103" s="13" t="n"/>
      <c r="D103" s="13" t="n"/>
      <c r="E103" s="13" t="n"/>
      <c r="F103" s="13" t="n"/>
      <c r="G103" s="14" t="n"/>
      <c r="H103" s="14" t="n"/>
      <c r="I103" s="13" t="n"/>
      <c r="J103" s="13" t="n"/>
      <c r="K103" s="13" t="n"/>
      <c r="L103" s="13" t="n"/>
    </row>
    <row r="104">
      <c r="A104" s="13" t="n"/>
      <c r="B104" s="13" t="n"/>
      <c r="C104" s="13" t="n"/>
      <c r="D104" s="13" t="n"/>
      <c r="E104" s="13" t="n"/>
      <c r="F104" s="13" t="n"/>
      <c r="G104" s="14" t="n"/>
      <c r="H104" s="14" t="n"/>
      <c r="I104" s="13" t="n"/>
      <c r="J104" s="13" t="n"/>
      <c r="K104" s="13" t="n"/>
      <c r="L104" s="13" t="n"/>
    </row>
  </sheetData>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"1 Creative,2 Copy,3 Landing page,4 Audience,5 Scale,Side creative test"</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1" type="list">
      <formula1>"Planned,Running,Done,Stopped"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2026-09-23T11:48:35Z</dcterms:created>
  <dcterms:modified xsi:type="dcterms:W3CDTF">2026-09-23T11:48:36Z</dcterms:modified>
</cp:coreProperties>
</file>